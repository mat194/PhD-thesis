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o\Documents\Tesi\Analysis\"/>
    </mc:Choice>
  </mc:AlternateContent>
  <xr:revisionPtr revIDLastSave="0" documentId="13_ncr:1_{E5839079-FBB3-4D86-B293-A9F127052767}" xr6:coauthVersionLast="47" xr6:coauthVersionMax="47" xr10:uidLastSave="{00000000-0000-0000-0000-000000000000}"/>
  <bookViews>
    <workbookView xWindow="-110" yWindow="-110" windowWidth="19420" windowHeight="10300" xr2:uid="{9EDE75D0-AD21-4DAE-826E-6A3AAE959308}"/>
  </bookViews>
  <sheets>
    <sheet name="Dati" sheetId="1" r:id="rId1"/>
    <sheet name="Legenda" sheetId="2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7" i="1" l="1"/>
  <c r="C208" i="1" s="1"/>
  <c r="C209" i="1" s="1"/>
  <c r="C210" i="1" s="1"/>
  <c r="C201" i="1"/>
  <c r="C202" i="1" s="1"/>
  <c r="C203" i="1" s="1"/>
  <c r="C204" i="1" s="1"/>
  <c r="C190" i="1"/>
  <c r="C191" i="1" s="1"/>
  <c r="C192" i="1" s="1"/>
  <c r="C41" i="1"/>
  <c r="C42" i="1" s="1"/>
  <c r="C16" i="1"/>
  <c r="C17" i="1" s="1"/>
  <c r="C18" i="1" s="1"/>
  <c r="C19" i="1" s="1"/>
  <c r="C20" i="1" s="1"/>
  <c r="C21" i="1" s="1"/>
  <c r="C22" i="1" s="1"/>
</calcChain>
</file>

<file path=xl/sharedStrings.xml><?xml version="1.0" encoding="utf-8"?>
<sst xmlns="http://schemas.openxmlformats.org/spreadsheetml/2006/main" count="345" uniqueCount="41">
  <si>
    <t>record_id</t>
  </si>
  <si>
    <t>TIME</t>
  </si>
  <si>
    <t>DV</t>
  </si>
  <si>
    <t>AMT</t>
  </si>
  <si>
    <t>DUR</t>
  </si>
  <si>
    <t>EVID</t>
  </si>
  <si>
    <t>creatinina</t>
  </si>
  <si>
    <t>peso</t>
  </si>
  <si>
    <t>dialisi</t>
  </si>
  <si>
    <t>Variabile</t>
  </si>
  <si>
    <t>Valore</t>
  </si>
  <si>
    <t>Spiegazione</t>
  </si>
  <si>
    <t>peso in Kg</t>
  </si>
  <si>
    <t xml:space="preserve"> basta 1 per paziente</t>
  </si>
  <si>
    <t>Esempio</t>
  </si>
  <si>
    <t>Mat</t>
  </si>
  <si>
    <t>numeri da 0 a ultima osservazione</t>
  </si>
  <si>
    <t>sono ore. Il tempo zero coincide con la prima dose somministrata di vancomicina</t>
  </si>
  <si>
    <t>numero</t>
  </si>
  <si>
    <t>Valore di TDM. Prendere quello in mg/L</t>
  </si>
  <si>
    <t>Dose di vanco</t>
  </si>
  <si>
    <t>Durata dell'infusione di vancomicina</t>
  </si>
  <si>
    <t xml:space="preserve">. 0 quando si inserisce un dato di una TDM, 1 se </t>
  </si>
  <si>
    <r>
      <rPr>
        <b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o </t>
    </r>
    <r>
      <rPr>
        <b/>
        <sz val="11"/>
        <color theme="1"/>
        <rFont val="Aptos Narrow"/>
        <family val="2"/>
        <scheme val="minor"/>
      </rPr>
      <t>0</t>
    </r>
  </si>
  <si>
    <t>prendere valore in mg/dL</t>
  </si>
  <si>
    <t xml:space="preserve">Se un paziente va on off in dialisi mettere 1 quando inizia e 0 quando finisce </t>
  </si>
  <si>
    <t>vm</t>
  </si>
  <si>
    <t>Ventilazione meccanica</t>
  </si>
  <si>
    <t>CRRT</t>
  </si>
  <si>
    <t>inverosimile</t>
  </si>
  <si>
    <t>non_sicuri</t>
  </si>
  <si>
    <t>Se paziente in CRRT</t>
  </si>
  <si>
    <t>In generale se i tempi delle TDM/somministrazioni appaiono poco verosimili</t>
  </si>
  <si>
    <t>in generale se la qualità del dato appare scarsa (per esempio dato preso da terapia intensiva dove non si capisce quando la fa)</t>
  </si>
  <si>
    <t>sex</t>
  </si>
  <si>
    <t>altezza</t>
  </si>
  <si>
    <t>nosografica</t>
  </si>
  <si>
    <t>male</t>
  </si>
  <si>
    <t>age</t>
  </si>
  <si>
    <t>female</t>
  </si>
  <si>
    <t>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</si>
</sst>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18" fillId="0" borderId="0" xfId="0" applyFont="1"/>
    <xf numFmtId="0" fontId="0" fillId="0" borderId="0" xfId="0" applyAlignment="1">
      <alignment vertical="center" wrapText="1"/>
    </xf>
    <xf numFmtId="0" fontId="19" fillId="0" borderId="0" xfId="0" applyFont="1" applyAlignment="1">
      <alignment horizontal="center" vertical="center"/>
    </xf>
    <xf numFmtId="0" fontId="0" fillId="0" borderId="13" xfId="0" applyBorder="1"/>
    <xf numFmtId="0" fontId="19" fillId="0" borderId="14" xfId="0" applyFont="1" applyBorder="1" applyAlignment="1">
      <alignment horizontal="center" vertical="center"/>
    </xf>
    <xf numFmtId="0" fontId="0" fillId="34" borderId="0" xfId="0" applyFill="1"/>
    <xf numFmtId="0" fontId="0" fillId="35" borderId="0" xfId="0" applyFill="1"/>
    <xf numFmtId="0" fontId="19" fillId="0" borderId="0" xfId="0" applyFont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5" fontId="0" fillId="0" borderId="0" xfId="0" applyNumberFormat="1"/>
    <xf numFmtId="16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7FAA5-2423-435B-AD3B-F0A9BE676829}" name="Tabella1" displayName="Tabella1" ref="A1:R274" totalsRowShown="0">
  <autoFilter ref="A1:R274" xr:uid="{1A47FAA5-2423-435B-AD3B-F0A9BE676829}"/>
  <tableColumns count="18">
    <tableColumn id="1" xr3:uid="{158F49A5-31CC-407B-B1A2-B07EE6EF2AB0}" name="record_id"/>
    <tableColumn id="17" xr3:uid="{0A29109F-EFF5-4DC2-904E-AC6D8FF1A5AB}" name="nosografica"/>
    <tableColumn id="2" xr3:uid="{CB43D504-C68A-4C10-9C5C-3D6C5057813E}" name="TIME"/>
    <tableColumn id="3" xr3:uid="{40625297-5C55-43DD-A680-961B8A6C4F0B}" name="DV"/>
    <tableColumn id="4" xr3:uid="{028D609C-9EF8-4F25-B1C5-EC06A8F28F4F}" name="AMT"/>
    <tableColumn id="5" xr3:uid="{20533293-C942-4B97-9FD8-6795757F4C55}" name="DUR"/>
    <tableColumn id="6" xr3:uid="{ABBA85F6-89B2-49DA-95DD-31BB027389C9}" name="EVID"/>
    <tableColumn id="14" xr3:uid="{FC8A4656-BCEE-43DC-8BED-8F70A016B636}" name="sex"/>
    <tableColumn id="18" xr3:uid="{99947F5F-5789-42FE-A7A1-9A5BFE75B30F}" name="age"/>
    <tableColumn id="7" xr3:uid="{9F72CE67-6D04-4071-8F9D-051BDF487933}" name="creatinina"/>
    <tableColumn id="15" xr3:uid="{BC54CB37-37A0-4996-AE34-8374ED74FB1F}" name="altezza"/>
    <tableColumn id="8" xr3:uid="{E9A96DAA-ABDC-472A-A2F9-A7428A111D40}" name="peso"/>
    <tableColumn id="9" xr3:uid="{2C08E4DD-D7AA-4489-BD9C-7B29C6718EA2}" name="dialisi"/>
    <tableColumn id="10" xr3:uid="{8D1867B8-1B16-439A-84F6-FB16759E0603}" name="vm"/>
    <tableColumn id="11" xr3:uid="{005B3734-2084-4317-B334-B86DE573D4ED}" name="CRRT"/>
    <tableColumn id="12" xr3:uid="{98F8916A-8FE8-4605-8BAF-145D0676DE90}" name="inverosimile"/>
    <tableColumn id="13" xr3:uid="{1C3CF071-C1EB-46D0-8D5B-71D0914C3892}" name="non_sicuri"/>
    <tableColumn id="16" xr3:uid="{15DE1640-210D-42A2-9DED-8258791FE2B9}" name="L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D0A1CB-C0C2-4974-BC99-D463BB305926}" name="Tabella2" displayName="Tabella2" ref="J2:R7" totalsRowShown="0" headerRowDxfId="7" headerRowBorderDxfId="6" tableBorderDxfId="5">
  <autoFilter ref="J2:R7" xr:uid="{7AD0A1CB-C0C2-4974-BC99-D463BB305926}"/>
  <tableColumns count="9">
    <tableColumn id="1" xr3:uid="{889B4EB2-E4B6-4EF1-8FA3-A8793670C5CF}" name="record_id" dataDxfId="4"/>
    <tableColumn id="2" xr3:uid="{3F9968F5-0223-4232-9692-97FAFDC0D304}" name="TIME"/>
    <tableColumn id="3" xr3:uid="{E7DD74E9-007C-4B7A-AD32-36F2DDF65FE7}" name="DV"/>
    <tableColumn id="4" xr3:uid="{DF7A3CB5-B1BF-4D08-8C84-0CC2DCD16115}" name="AMT"/>
    <tableColumn id="5" xr3:uid="{20624A50-B467-43B4-8187-A9989BBA70E2}" name="DUR"/>
    <tableColumn id="6" xr3:uid="{614CF2CC-4F07-48EC-B94E-86E37ADCF948}" name="EVID"/>
    <tableColumn id="7" xr3:uid="{9280B59B-FD6C-4BD0-8B86-F24D97B4C8A9}" name="creatinina"/>
    <tableColumn id="8" xr3:uid="{E71B47BB-F59B-48C7-AAF4-8D377960E37B}" name="peso"/>
    <tableColumn id="9" xr3:uid="{7713F35B-3656-4D6A-8416-149456734F76}" name="dialis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D1F038-F472-4EC5-94B2-BEA971F28795}" name="Tabella3" displayName="Tabella3" ref="A1:C13" totalsRowShown="0" dataDxfId="3">
  <autoFilter ref="A1:C13" xr:uid="{12D1F038-F472-4EC5-94B2-BEA971F28795}"/>
  <tableColumns count="3">
    <tableColumn id="1" xr3:uid="{628E8F2F-44A0-42F6-A8A4-B487ED74483B}" name="Variabile" dataDxfId="2"/>
    <tableColumn id="2" xr3:uid="{1F23F278-B541-4869-882A-7A149E237612}" name="Valore" dataDxfId="1"/>
    <tableColumn id="3" xr3:uid="{93937148-7426-411E-95E3-09EA1E6CAEFA}" name="Spiegazio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159C-4957-4A6F-A23A-8C540B1193F0}">
  <dimension ref="A1:X274"/>
  <sheetViews>
    <sheetView tabSelected="1" topLeftCell="A251" workbookViewId="0">
      <selection activeCell="E260" sqref="E260"/>
    </sheetView>
  </sheetViews>
  <sheetFormatPr defaultRowHeight="14.5" x14ac:dyDescent="0.35"/>
  <cols>
    <col min="1" max="1" width="10.90625" customWidth="1"/>
    <col min="2" max="2" width="13.36328125" customWidth="1"/>
    <col min="16" max="16" width="13.453125" bestFit="1" customWidth="1"/>
    <col min="17" max="17" width="12.08984375" bestFit="1" customWidth="1"/>
  </cols>
  <sheetData>
    <row r="1" spans="1:18" x14ac:dyDescent="0.35">
      <c r="A1" t="s">
        <v>0</v>
      </c>
      <c r="B1" t="s">
        <v>36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34</v>
      </c>
      <c r="I1" t="s">
        <v>38</v>
      </c>
      <c r="J1" t="s">
        <v>6</v>
      </c>
      <c r="K1" t="s">
        <v>35</v>
      </c>
      <c r="L1" t="s">
        <v>7</v>
      </c>
      <c r="M1" t="s">
        <v>8</v>
      </c>
      <c r="N1" t="s">
        <v>26</v>
      </c>
      <c r="O1" t="s">
        <v>28</v>
      </c>
      <c r="P1" t="s">
        <v>29</v>
      </c>
      <c r="Q1" t="s">
        <v>30</v>
      </c>
      <c r="R1" t="s">
        <v>40</v>
      </c>
    </row>
    <row r="2" spans="1:18" ht="15.5" x14ac:dyDescent="0.35">
      <c r="A2" s="9">
        <v>14</v>
      </c>
      <c r="B2" s="6">
        <v>23109819</v>
      </c>
      <c r="C2">
        <v>0</v>
      </c>
      <c r="E2">
        <v>2000</v>
      </c>
      <c r="F2">
        <v>3</v>
      </c>
      <c r="G2">
        <v>1</v>
      </c>
      <c r="H2" t="s">
        <v>37</v>
      </c>
      <c r="I2">
        <v>71</v>
      </c>
      <c r="J2">
        <v>0.85</v>
      </c>
      <c r="K2">
        <v>158</v>
      </c>
      <c r="L2">
        <v>60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</row>
    <row r="3" spans="1:18" ht="15.5" x14ac:dyDescent="0.35">
      <c r="A3" s="9">
        <v>14</v>
      </c>
      <c r="B3" s="6">
        <v>23109819</v>
      </c>
      <c r="C3">
        <v>3</v>
      </c>
      <c r="E3">
        <v>2000</v>
      </c>
      <c r="F3">
        <v>21</v>
      </c>
      <c r="G3">
        <v>1</v>
      </c>
      <c r="H3" t="s">
        <v>37</v>
      </c>
      <c r="I3">
        <v>71</v>
      </c>
      <c r="J3">
        <v>0.85</v>
      </c>
      <c r="K3">
        <v>158</v>
      </c>
      <c r="L3">
        <v>60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</row>
    <row r="4" spans="1:18" ht="15.5" x14ac:dyDescent="0.35">
      <c r="A4" s="9">
        <v>14</v>
      </c>
      <c r="B4" s="6">
        <v>23109819</v>
      </c>
      <c r="C4">
        <v>24</v>
      </c>
      <c r="E4">
        <v>2000</v>
      </c>
      <c r="F4">
        <v>24</v>
      </c>
      <c r="G4">
        <v>1</v>
      </c>
      <c r="H4" t="s">
        <v>37</v>
      </c>
      <c r="I4">
        <v>71</v>
      </c>
      <c r="J4">
        <v>0.85</v>
      </c>
      <c r="K4">
        <v>158</v>
      </c>
      <c r="L4">
        <v>60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</row>
    <row r="5" spans="1:18" ht="15.5" x14ac:dyDescent="0.35">
      <c r="A5" s="9">
        <v>14</v>
      </c>
      <c r="B5" s="6">
        <v>23109819</v>
      </c>
      <c r="C5">
        <v>48</v>
      </c>
      <c r="E5">
        <v>1750</v>
      </c>
      <c r="F5">
        <v>24</v>
      </c>
      <c r="G5">
        <v>1</v>
      </c>
      <c r="H5" t="s">
        <v>37</v>
      </c>
      <c r="I5">
        <v>71</v>
      </c>
      <c r="J5">
        <v>1.52</v>
      </c>
      <c r="K5">
        <v>158</v>
      </c>
      <c r="L5">
        <v>60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</row>
    <row r="6" spans="1:18" ht="15.5" x14ac:dyDescent="0.35">
      <c r="A6" s="9">
        <v>14</v>
      </c>
      <c r="B6" s="6">
        <v>23109819</v>
      </c>
      <c r="C6">
        <v>72</v>
      </c>
      <c r="E6">
        <v>1750</v>
      </c>
      <c r="F6">
        <v>24</v>
      </c>
      <c r="G6">
        <v>1</v>
      </c>
      <c r="H6" t="s">
        <v>37</v>
      </c>
      <c r="I6">
        <v>71</v>
      </c>
      <c r="J6">
        <v>0.99</v>
      </c>
      <c r="K6">
        <v>158</v>
      </c>
      <c r="L6">
        <v>60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</row>
    <row r="7" spans="1:18" ht="15.5" x14ac:dyDescent="0.35">
      <c r="A7" s="9">
        <v>14</v>
      </c>
      <c r="B7" s="6">
        <v>23109819</v>
      </c>
      <c r="C7">
        <v>96</v>
      </c>
      <c r="E7">
        <v>1750</v>
      </c>
      <c r="F7">
        <v>24</v>
      </c>
      <c r="G7">
        <v>1</v>
      </c>
      <c r="H7" t="s">
        <v>37</v>
      </c>
      <c r="I7">
        <v>71</v>
      </c>
      <c r="J7">
        <v>1.1499999999999999</v>
      </c>
      <c r="K7">
        <v>158</v>
      </c>
      <c r="L7">
        <v>60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</row>
    <row r="8" spans="1:18" ht="15.5" x14ac:dyDescent="0.35">
      <c r="A8" s="9">
        <v>14</v>
      </c>
      <c r="B8" s="6">
        <v>23109819</v>
      </c>
      <c r="C8">
        <v>120</v>
      </c>
      <c r="E8">
        <v>1750</v>
      </c>
      <c r="F8">
        <v>24</v>
      </c>
      <c r="G8">
        <v>1</v>
      </c>
      <c r="H8" t="s">
        <v>37</v>
      </c>
      <c r="I8">
        <v>71</v>
      </c>
      <c r="J8">
        <v>0.96</v>
      </c>
      <c r="K8">
        <v>158</v>
      </c>
      <c r="L8">
        <v>60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</row>
    <row r="9" spans="1:18" ht="15.5" x14ac:dyDescent="0.35">
      <c r="A9" s="9">
        <v>14</v>
      </c>
      <c r="B9" s="6">
        <v>23109819</v>
      </c>
      <c r="C9">
        <v>144</v>
      </c>
      <c r="E9">
        <v>1750</v>
      </c>
      <c r="F9">
        <v>24</v>
      </c>
      <c r="G9">
        <v>1</v>
      </c>
      <c r="H9" t="s">
        <v>37</v>
      </c>
      <c r="I9">
        <v>71</v>
      </c>
      <c r="J9">
        <v>0.85</v>
      </c>
      <c r="K9">
        <v>158</v>
      </c>
      <c r="L9">
        <v>60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</row>
    <row r="10" spans="1:18" ht="15.5" x14ac:dyDescent="0.35">
      <c r="A10" s="9">
        <v>14</v>
      </c>
      <c r="B10" s="6">
        <v>23109819</v>
      </c>
      <c r="C10">
        <v>168</v>
      </c>
      <c r="E10">
        <v>1750</v>
      </c>
      <c r="F10">
        <v>24</v>
      </c>
      <c r="G10">
        <v>1</v>
      </c>
      <c r="H10" t="s">
        <v>37</v>
      </c>
      <c r="I10">
        <v>71</v>
      </c>
      <c r="J10">
        <v>0.85</v>
      </c>
      <c r="K10">
        <v>158</v>
      </c>
      <c r="L10">
        <v>60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</row>
    <row r="11" spans="1:18" ht="15.5" x14ac:dyDescent="0.35">
      <c r="A11" s="9">
        <v>14</v>
      </c>
      <c r="B11" s="6">
        <v>23109819</v>
      </c>
      <c r="C11">
        <v>216</v>
      </c>
      <c r="E11">
        <v>1750</v>
      </c>
      <c r="F11">
        <v>24</v>
      </c>
      <c r="G11">
        <v>1</v>
      </c>
      <c r="H11" t="s">
        <v>37</v>
      </c>
      <c r="I11">
        <v>71</v>
      </c>
      <c r="J11">
        <v>0.78</v>
      </c>
      <c r="K11">
        <v>158</v>
      </c>
      <c r="L11">
        <v>60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</row>
    <row r="12" spans="1:18" ht="15.5" x14ac:dyDescent="0.35">
      <c r="A12" s="9">
        <v>14</v>
      </c>
      <c r="B12" s="6">
        <v>23109819</v>
      </c>
      <c r="C12">
        <v>192</v>
      </c>
      <c r="E12">
        <v>1750</v>
      </c>
      <c r="F12">
        <v>24</v>
      </c>
      <c r="G12">
        <v>1</v>
      </c>
      <c r="H12" t="s">
        <v>37</v>
      </c>
      <c r="I12">
        <v>71</v>
      </c>
      <c r="J12">
        <v>0.79</v>
      </c>
      <c r="K12">
        <v>158</v>
      </c>
      <c r="L12">
        <v>60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</row>
    <row r="13" spans="1:18" ht="15.5" x14ac:dyDescent="0.35">
      <c r="A13" s="9">
        <v>14</v>
      </c>
      <c r="B13" s="6">
        <v>23109819</v>
      </c>
      <c r="C13">
        <v>216</v>
      </c>
      <c r="E13">
        <v>1750</v>
      </c>
      <c r="F13">
        <v>24</v>
      </c>
      <c r="G13">
        <v>1</v>
      </c>
      <c r="H13" t="s">
        <v>37</v>
      </c>
      <c r="I13">
        <v>71</v>
      </c>
      <c r="J13">
        <v>0.79</v>
      </c>
      <c r="K13">
        <v>158</v>
      </c>
      <c r="L13">
        <v>60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</row>
    <row r="14" spans="1:18" ht="15.5" x14ac:dyDescent="0.35">
      <c r="A14" s="9">
        <v>14</v>
      </c>
      <c r="B14" s="6">
        <v>23109819</v>
      </c>
      <c r="C14">
        <v>23.5</v>
      </c>
      <c r="D14">
        <v>21</v>
      </c>
      <c r="G14">
        <v>0</v>
      </c>
      <c r="H14" t="s">
        <v>37</v>
      </c>
      <c r="I14">
        <v>71</v>
      </c>
      <c r="J14">
        <v>0.85</v>
      </c>
      <c r="K14">
        <v>158</v>
      </c>
      <c r="L14">
        <v>60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</row>
    <row r="15" spans="1:18" ht="15.5" x14ac:dyDescent="0.35">
      <c r="A15" s="9">
        <v>14</v>
      </c>
      <c r="B15" s="6">
        <v>23109819</v>
      </c>
      <c r="C15">
        <v>47.5</v>
      </c>
      <c r="D15">
        <v>23</v>
      </c>
      <c r="G15">
        <v>0</v>
      </c>
      <c r="H15" t="s">
        <v>37</v>
      </c>
      <c r="I15">
        <v>71</v>
      </c>
      <c r="J15">
        <v>1.52</v>
      </c>
      <c r="K15">
        <v>158</v>
      </c>
      <c r="L15">
        <v>60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</row>
    <row r="16" spans="1:18" ht="15.5" x14ac:dyDescent="0.35">
      <c r="A16" s="9">
        <v>14</v>
      </c>
      <c r="B16" s="6">
        <v>23109819</v>
      </c>
      <c r="C16">
        <f>C15 +24</f>
        <v>71.5</v>
      </c>
      <c r="D16">
        <v>27</v>
      </c>
      <c r="G16">
        <v>0</v>
      </c>
      <c r="H16" t="s">
        <v>37</v>
      </c>
      <c r="I16">
        <v>71</v>
      </c>
      <c r="J16">
        <v>0.99</v>
      </c>
      <c r="K16">
        <v>158</v>
      </c>
      <c r="L16">
        <v>60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</row>
    <row r="17" spans="1:18" ht="15.5" x14ac:dyDescent="0.35">
      <c r="A17" s="9">
        <v>14</v>
      </c>
      <c r="B17" s="6">
        <v>23109819</v>
      </c>
      <c r="C17">
        <f>C16 +24</f>
        <v>95.5</v>
      </c>
      <c r="D17">
        <v>25</v>
      </c>
      <c r="G17">
        <v>0</v>
      </c>
      <c r="H17" t="s">
        <v>37</v>
      </c>
      <c r="I17">
        <v>71</v>
      </c>
      <c r="J17">
        <v>1.1499999999999999</v>
      </c>
      <c r="K17">
        <v>158</v>
      </c>
      <c r="L17">
        <v>60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</row>
    <row r="18" spans="1:18" ht="15.5" x14ac:dyDescent="0.35">
      <c r="A18" s="9">
        <v>14</v>
      </c>
      <c r="B18" s="6">
        <v>23109819</v>
      </c>
      <c r="C18">
        <f t="shared" ref="C18:C22" si="0">C17 +24</f>
        <v>119.5</v>
      </c>
      <c r="D18">
        <v>21</v>
      </c>
      <c r="G18">
        <v>0</v>
      </c>
      <c r="H18" t="s">
        <v>37</v>
      </c>
      <c r="I18">
        <v>71</v>
      </c>
      <c r="J18">
        <v>0.96</v>
      </c>
      <c r="K18">
        <v>158</v>
      </c>
      <c r="L18">
        <v>60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</row>
    <row r="19" spans="1:18" ht="15.5" x14ac:dyDescent="0.35">
      <c r="A19" s="9">
        <v>14</v>
      </c>
      <c r="B19" s="6">
        <v>23109819</v>
      </c>
      <c r="C19">
        <f t="shared" si="0"/>
        <v>143.5</v>
      </c>
      <c r="D19">
        <v>24</v>
      </c>
      <c r="G19">
        <v>0</v>
      </c>
      <c r="H19" t="s">
        <v>37</v>
      </c>
      <c r="I19">
        <v>71</v>
      </c>
      <c r="J19">
        <v>0.85</v>
      </c>
      <c r="K19">
        <v>158</v>
      </c>
      <c r="L19">
        <v>60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</row>
    <row r="20" spans="1:18" ht="15.5" x14ac:dyDescent="0.35">
      <c r="A20" s="9">
        <v>14</v>
      </c>
      <c r="B20" s="6">
        <v>23109819</v>
      </c>
      <c r="C20">
        <f t="shared" si="0"/>
        <v>167.5</v>
      </c>
      <c r="D20">
        <v>23</v>
      </c>
      <c r="G20">
        <v>0</v>
      </c>
      <c r="H20" t="s">
        <v>37</v>
      </c>
      <c r="I20">
        <v>71</v>
      </c>
      <c r="J20">
        <v>0.85</v>
      </c>
      <c r="K20">
        <v>158</v>
      </c>
      <c r="L20">
        <v>60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</row>
    <row r="21" spans="1:18" ht="15.5" x14ac:dyDescent="0.35">
      <c r="A21" s="9">
        <v>14</v>
      </c>
      <c r="B21" s="6">
        <v>23109819</v>
      </c>
      <c r="C21">
        <f t="shared" si="0"/>
        <v>191.5</v>
      </c>
      <c r="D21">
        <v>22</v>
      </c>
      <c r="G21">
        <v>0</v>
      </c>
      <c r="H21" t="s">
        <v>37</v>
      </c>
      <c r="I21">
        <v>71</v>
      </c>
      <c r="J21">
        <v>0.78</v>
      </c>
      <c r="K21">
        <v>158</v>
      </c>
      <c r="L21">
        <v>60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</row>
    <row r="22" spans="1:18" ht="15.5" x14ac:dyDescent="0.35">
      <c r="A22" s="9">
        <v>14</v>
      </c>
      <c r="B22" s="6">
        <v>23109819</v>
      </c>
      <c r="C22">
        <f t="shared" si="0"/>
        <v>215.5</v>
      </c>
      <c r="D22">
        <v>23</v>
      </c>
      <c r="G22">
        <v>0</v>
      </c>
      <c r="H22" t="s">
        <v>37</v>
      </c>
      <c r="I22">
        <v>71</v>
      </c>
      <c r="J22">
        <v>0.79</v>
      </c>
      <c r="K22">
        <v>158</v>
      </c>
      <c r="L22">
        <v>60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</row>
    <row r="23" spans="1:18" ht="15.5" x14ac:dyDescent="0.35">
      <c r="A23" s="9">
        <v>309</v>
      </c>
      <c r="B23" s="6">
        <v>23005447</v>
      </c>
      <c r="C23">
        <v>0</v>
      </c>
      <c r="E23">
        <v>500</v>
      </c>
      <c r="F23">
        <v>1</v>
      </c>
      <c r="G23">
        <v>1</v>
      </c>
      <c r="H23" t="s">
        <v>37</v>
      </c>
      <c r="I23">
        <v>82</v>
      </c>
      <c r="J23">
        <v>6.26</v>
      </c>
      <c r="K23">
        <v>170</v>
      </c>
      <c r="L23">
        <v>67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ht="15.5" x14ac:dyDescent="0.35">
      <c r="A24" s="9">
        <v>309</v>
      </c>
      <c r="B24" s="6">
        <v>23005447</v>
      </c>
      <c r="C24">
        <v>24</v>
      </c>
      <c r="E24">
        <v>500</v>
      </c>
      <c r="F24">
        <v>1</v>
      </c>
      <c r="G24">
        <v>1</v>
      </c>
      <c r="H24" t="s">
        <v>37</v>
      </c>
      <c r="I24">
        <v>82</v>
      </c>
      <c r="J24">
        <v>6.26</v>
      </c>
      <c r="K24">
        <v>170</v>
      </c>
      <c r="L24">
        <v>67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ht="15.5" x14ac:dyDescent="0.35">
      <c r="A25" s="9">
        <v>309</v>
      </c>
      <c r="B25" s="6">
        <v>23005447</v>
      </c>
      <c r="C25">
        <v>47.5</v>
      </c>
      <c r="D25">
        <v>11</v>
      </c>
      <c r="G25">
        <v>0</v>
      </c>
      <c r="H25" t="s">
        <v>37</v>
      </c>
      <c r="I25">
        <v>82</v>
      </c>
      <c r="J25">
        <v>6.26</v>
      </c>
      <c r="K25">
        <v>170</v>
      </c>
      <c r="L25">
        <v>67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ht="15.5" x14ac:dyDescent="0.35">
      <c r="A26" s="9">
        <v>309</v>
      </c>
      <c r="B26" s="6">
        <v>23005447</v>
      </c>
      <c r="C26">
        <v>48</v>
      </c>
      <c r="E26">
        <v>500</v>
      </c>
      <c r="F26">
        <v>1</v>
      </c>
      <c r="G26">
        <v>1</v>
      </c>
      <c r="H26" t="s">
        <v>37</v>
      </c>
      <c r="I26">
        <v>82</v>
      </c>
      <c r="J26">
        <v>6.26</v>
      </c>
      <c r="K26">
        <v>170</v>
      </c>
      <c r="L26">
        <v>67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ht="15.5" x14ac:dyDescent="0.35">
      <c r="A27" s="9">
        <v>340</v>
      </c>
      <c r="B27" s="6">
        <v>2023028275</v>
      </c>
      <c r="C27">
        <v>0</v>
      </c>
      <c r="E27">
        <v>1000</v>
      </c>
      <c r="F27">
        <v>1</v>
      </c>
      <c r="G27">
        <v>1</v>
      </c>
      <c r="H27" t="s">
        <v>39</v>
      </c>
      <c r="I27">
        <v>93</v>
      </c>
      <c r="J27">
        <v>1.49</v>
      </c>
      <c r="K27">
        <v>160</v>
      </c>
      <c r="L27">
        <v>56</v>
      </c>
      <c r="M27">
        <v>0</v>
      </c>
      <c r="N27">
        <v>0</v>
      </c>
      <c r="P27">
        <v>0</v>
      </c>
      <c r="Q27">
        <v>0</v>
      </c>
      <c r="R27">
        <v>0</v>
      </c>
    </row>
    <row r="28" spans="1:18" ht="15.5" x14ac:dyDescent="0.35">
      <c r="A28" s="9">
        <v>340</v>
      </c>
      <c r="B28" s="6">
        <v>2023028275</v>
      </c>
      <c r="C28">
        <v>12</v>
      </c>
      <c r="E28">
        <v>1000</v>
      </c>
      <c r="F28">
        <v>1</v>
      </c>
      <c r="G28">
        <v>1</v>
      </c>
      <c r="H28" t="s">
        <v>39</v>
      </c>
      <c r="I28">
        <v>93</v>
      </c>
      <c r="J28">
        <v>1.49</v>
      </c>
      <c r="K28">
        <v>160</v>
      </c>
      <c r="L28">
        <v>56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ht="15.5" x14ac:dyDescent="0.35">
      <c r="A29" s="9">
        <v>340</v>
      </c>
      <c r="B29" s="6">
        <v>2023028275</v>
      </c>
      <c r="C29">
        <v>24</v>
      </c>
      <c r="E29">
        <v>1000</v>
      </c>
      <c r="F29">
        <v>1</v>
      </c>
      <c r="G29">
        <v>1</v>
      </c>
      <c r="H29" t="s">
        <v>39</v>
      </c>
      <c r="I29">
        <v>93</v>
      </c>
      <c r="J29">
        <v>1.4</v>
      </c>
      <c r="K29">
        <v>160</v>
      </c>
      <c r="L29">
        <v>56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ht="15.5" x14ac:dyDescent="0.35">
      <c r="A30" s="9">
        <v>340</v>
      </c>
      <c r="B30" s="6">
        <v>2023028275</v>
      </c>
      <c r="C30">
        <v>48</v>
      </c>
      <c r="E30">
        <v>1000</v>
      </c>
      <c r="F30">
        <v>1</v>
      </c>
      <c r="G30">
        <v>1</v>
      </c>
      <c r="H30" t="s">
        <v>39</v>
      </c>
      <c r="I30">
        <v>93</v>
      </c>
      <c r="J30">
        <v>1.4</v>
      </c>
      <c r="K30">
        <v>160</v>
      </c>
      <c r="L30">
        <v>56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ht="15.5" x14ac:dyDescent="0.35">
      <c r="A31" s="9">
        <v>340</v>
      </c>
      <c r="B31" s="6">
        <v>2023028275</v>
      </c>
      <c r="C31">
        <v>72</v>
      </c>
      <c r="E31">
        <v>1000</v>
      </c>
      <c r="F31">
        <v>1</v>
      </c>
      <c r="G31">
        <v>1</v>
      </c>
      <c r="H31" t="s">
        <v>39</v>
      </c>
      <c r="I31">
        <v>93</v>
      </c>
      <c r="J31">
        <v>1.4</v>
      </c>
      <c r="K31">
        <v>160</v>
      </c>
      <c r="L31">
        <v>56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ht="15.5" x14ac:dyDescent="0.35">
      <c r="A32" s="9">
        <v>340</v>
      </c>
      <c r="B32" s="6">
        <v>2023028275</v>
      </c>
      <c r="C32">
        <v>96</v>
      </c>
      <c r="E32">
        <v>1000</v>
      </c>
      <c r="F32">
        <v>1</v>
      </c>
      <c r="G32">
        <v>1</v>
      </c>
      <c r="H32" t="s">
        <v>39</v>
      </c>
      <c r="I32">
        <v>93</v>
      </c>
      <c r="J32">
        <v>1.4</v>
      </c>
      <c r="K32">
        <v>160</v>
      </c>
      <c r="L32">
        <v>56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24" ht="15.5" x14ac:dyDescent="0.35">
      <c r="A33" s="9">
        <v>340</v>
      </c>
      <c r="B33" s="6">
        <v>2023028275</v>
      </c>
      <c r="C33">
        <v>120</v>
      </c>
      <c r="E33">
        <v>1000</v>
      </c>
      <c r="F33">
        <v>1</v>
      </c>
      <c r="G33">
        <v>1</v>
      </c>
      <c r="H33" t="s">
        <v>39</v>
      </c>
      <c r="I33">
        <v>93</v>
      </c>
      <c r="J33">
        <v>1.02</v>
      </c>
      <c r="K33">
        <v>160</v>
      </c>
      <c r="L33">
        <v>56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24" ht="15.5" x14ac:dyDescent="0.35">
      <c r="A34" s="9">
        <v>340</v>
      </c>
      <c r="B34" s="6">
        <v>2023028275</v>
      </c>
      <c r="C34">
        <v>144</v>
      </c>
      <c r="E34">
        <v>1000</v>
      </c>
      <c r="F34">
        <v>1</v>
      </c>
      <c r="G34">
        <v>1</v>
      </c>
      <c r="H34" t="s">
        <v>39</v>
      </c>
      <c r="I34">
        <v>93</v>
      </c>
      <c r="J34">
        <v>1.02</v>
      </c>
      <c r="K34">
        <v>160</v>
      </c>
      <c r="L34">
        <v>56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W34" s="7"/>
      <c r="X34" s="8"/>
    </row>
    <row r="35" spans="1:24" ht="15.5" x14ac:dyDescent="0.35">
      <c r="A35" s="9">
        <v>340</v>
      </c>
      <c r="B35" s="6">
        <v>2023028275</v>
      </c>
      <c r="C35">
        <v>168</v>
      </c>
      <c r="E35">
        <v>1000</v>
      </c>
      <c r="F35">
        <v>1</v>
      </c>
      <c r="G35">
        <v>1</v>
      </c>
      <c r="H35" t="s">
        <v>39</v>
      </c>
      <c r="I35">
        <v>93</v>
      </c>
      <c r="J35">
        <v>1.02</v>
      </c>
      <c r="K35">
        <v>160</v>
      </c>
      <c r="L35">
        <v>56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24" ht="15.5" x14ac:dyDescent="0.35">
      <c r="A36" s="9">
        <v>340</v>
      </c>
      <c r="B36" s="6">
        <v>2023028275</v>
      </c>
      <c r="C36">
        <v>192</v>
      </c>
      <c r="E36">
        <v>1000</v>
      </c>
      <c r="F36">
        <v>1</v>
      </c>
      <c r="G36">
        <v>1</v>
      </c>
      <c r="H36" t="s">
        <v>39</v>
      </c>
      <c r="I36">
        <v>93</v>
      </c>
      <c r="J36">
        <v>1.02</v>
      </c>
      <c r="K36">
        <v>160</v>
      </c>
      <c r="L36">
        <v>56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24" ht="15.5" x14ac:dyDescent="0.35">
      <c r="A37" s="9">
        <v>340</v>
      </c>
      <c r="B37" s="6">
        <v>2023028275</v>
      </c>
      <c r="C37">
        <v>216</v>
      </c>
      <c r="E37">
        <v>1000</v>
      </c>
      <c r="F37">
        <v>1</v>
      </c>
      <c r="G37">
        <v>1</v>
      </c>
      <c r="H37" t="s">
        <v>39</v>
      </c>
      <c r="I37">
        <v>93</v>
      </c>
      <c r="J37">
        <v>1.02</v>
      </c>
      <c r="K37">
        <v>160</v>
      </c>
      <c r="L37">
        <v>56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24" ht="15.5" x14ac:dyDescent="0.35">
      <c r="A38" s="9">
        <v>340</v>
      </c>
      <c r="B38" s="6">
        <v>2023028275</v>
      </c>
      <c r="C38">
        <v>215.5</v>
      </c>
      <c r="D38">
        <v>26</v>
      </c>
      <c r="G38">
        <v>0</v>
      </c>
      <c r="H38" t="s">
        <v>39</v>
      </c>
      <c r="I38">
        <v>93</v>
      </c>
      <c r="J38">
        <v>0.89</v>
      </c>
      <c r="K38">
        <v>160</v>
      </c>
      <c r="L38">
        <v>56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24" ht="15.5" x14ac:dyDescent="0.35">
      <c r="A39" s="9">
        <v>340</v>
      </c>
      <c r="B39" s="6">
        <v>2023028275</v>
      </c>
      <c r="C39">
        <v>240</v>
      </c>
      <c r="E39">
        <v>750</v>
      </c>
      <c r="F39">
        <v>1</v>
      </c>
      <c r="G39">
        <v>1</v>
      </c>
      <c r="H39" t="s">
        <v>39</v>
      </c>
      <c r="I39">
        <v>93</v>
      </c>
      <c r="J39">
        <v>0.89</v>
      </c>
      <c r="K39">
        <v>160</v>
      </c>
      <c r="L39">
        <v>56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24" ht="15.5" x14ac:dyDescent="0.35">
      <c r="A40" s="9">
        <v>340</v>
      </c>
      <c r="B40" s="6">
        <v>2023028275</v>
      </c>
      <c r="C40">
        <v>248</v>
      </c>
      <c r="E40">
        <v>750</v>
      </c>
      <c r="F40">
        <v>1</v>
      </c>
      <c r="G40">
        <v>1</v>
      </c>
      <c r="H40" t="s">
        <v>39</v>
      </c>
      <c r="I40">
        <v>93</v>
      </c>
      <c r="J40">
        <v>0.79</v>
      </c>
      <c r="K40">
        <v>160</v>
      </c>
      <c r="L40">
        <v>56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24" ht="15.5" x14ac:dyDescent="0.35">
      <c r="A41" s="9">
        <v>340</v>
      </c>
      <c r="B41" s="6">
        <v>2023028275</v>
      </c>
      <c r="C41">
        <f>C40 +24</f>
        <v>272</v>
      </c>
      <c r="E41">
        <v>750</v>
      </c>
      <c r="F41">
        <v>1</v>
      </c>
      <c r="G41">
        <v>1</v>
      </c>
      <c r="H41" t="s">
        <v>39</v>
      </c>
      <c r="I41">
        <v>93</v>
      </c>
      <c r="J41">
        <v>0.79</v>
      </c>
      <c r="K41">
        <v>160</v>
      </c>
      <c r="L41">
        <v>56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24" ht="15.5" x14ac:dyDescent="0.35">
      <c r="A42" s="9">
        <v>340</v>
      </c>
      <c r="B42" s="6">
        <v>2023028275</v>
      </c>
      <c r="C42">
        <f>C41 +24</f>
        <v>296</v>
      </c>
      <c r="E42">
        <v>750</v>
      </c>
      <c r="F42">
        <v>1</v>
      </c>
      <c r="G42">
        <v>1</v>
      </c>
      <c r="H42" t="s">
        <v>39</v>
      </c>
      <c r="I42">
        <v>93</v>
      </c>
      <c r="J42">
        <v>0.79</v>
      </c>
      <c r="K42">
        <v>160</v>
      </c>
      <c r="L42">
        <v>56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24" ht="15.5" x14ac:dyDescent="0.35">
      <c r="A43" s="9">
        <v>340</v>
      </c>
      <c r="B43" s="6">
        <v>2023028275</v>
      </c>
      <c r="C43">
        <v>295.5</v>
      </c>
      <c r="D43">
        <v>21</v>
      </c>
      <c r="G43">
        <v>0</v>
      </c>
      <c r="H43" t="s">
        <v>39</v>
      </c>
      <c r="I43">
        <v>93</v>
      </c>
      <c r="J43">
        <v>0.78</v>
      </c>
      <c r="K43">
        <v>160</v>
      </c>
      <c r="L43">
        <v>56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24" ht="15.5" x14ac:dyDescent="0.35">
      <c r="A44" s="9">
        <v>361</v>
      </c>
      <c r="B44" s="6">
        <v>2000001000787020</v>
      </c>
      <c r="C44">
        <v>0</v>
      </c>
      <c r="E44">
        <v>1750</v>
      </c>
      <c r="F44">
        <v>3</v>
      </c>
      <c r="G44">
        <v>1</v>
      </c>
      <c r="H44" t="s">
        <v>37</v>
      </c>
      <c r="I44">
        <v>70</v>
      </c>
      <c r="J44">
        <v>1.24</v>
      </c>
      <c r="K44">
        <v>178</v>
      </c>
      <c r="L44">
        <v>70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</row>
    <row r="45" spans="1:24" ht="15.5" x14ac:dyDescent="0.35">
      <c r="A45" s="9">
        <v>361</v>
      </c>
      <c r="B45" s="6">
        <v>2000001000787020</v>
      </c>
      <c r="C45">
        <v>12</v>
      </c>
      <c r="E45">
        <v>1000</v>
      </c>
      <c r="F45">
        <v>2</v>
      </c>
      <c r="G45">
        <v>1</v>
      </c>
      <c r="H45" t="s">
        <v>37</v>
      </c>
      <c r="I45">
        <v>70</v>
      </c>
      <c r="J45">
        <v>0.79</v>
      </c>
      <c r="K45">
        <v>178</v>
      </c>
      <c r="L45">
        <v>70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24" ht="15.5" x14ac:dyDescent="0.35">
      <c r="A46" s="9">
        <v>361</v>
      </c>
      <c r="B46" s="6">
        <v>2000001000787020</v>
      </c>
      <c r="C46">
        <v>24</v>
      </c>
      <c r="E46">
        <v>1000</v>
      </c>
      <c r="F46">
        <v>2</v>
      </c>
      <c r="G46">
        <v>1</v>
      </c>
      <c r="H46" t="s">
        <v>37</v>
      </c>
      <c r="I46">
        <v>70</v>
      </c>
      <c r="J46">
        <v>1.02</v>
      </c>
      <c r="K46">
        <v>178</v>
      </c>
      <c r="L46">
        <v>70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24" ht="15.5" x14ac:dyDescent="0.35">
      <c r="A47" s="9">
        <v>361</v>
      </c>
      <c r="B47" s="6">
        <v>2000001000787020</v>
      </c>
      <c r="C47">
        <v>36</v>
      </c>
      <c r="E47">
        <v>1000</v>
      </c>
      <c r="F47">
        <v>2</v>
      </c>
      <c r="G47">
        <v>1</v>
      </c>
      <c r="H47" t="s">
        <v>37</v>
      </c>
      <c r="I47">
        <v>70</v>
      </c>
      <c r="J47">
        <v>1.02</v>
      </c>
      <c r="K47">
        <v>178</v>
      </c>
      <c r="L47">
        <v>70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24" ht="15.5" x14ac:dyDescent="0.35">
      <c r="A48" s="9">
        <v>361</v>
      </c>
      <c r="B48" s="6">
        <v>2000001000787020</v>
      </c>
      <c r="C48">
        <v>47.5</v>
      </c>
      <c r="D48">
        <v>9</v>
      </c>
      <c r="G48">
        <v>0</v>
      </c>
      <c r="H48" t="s">
        <v>37</v>
      </c>
      <c r="I48">
        <v>70</v>
      </c>
      <c r="J48">
        <v>0.82</v>
      </c>
      <c r="K48">
        <v>178</v>
      </c>
      <c r="L48">
        <v>70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ht="15.5" x14ac:dyDescent="0.35">
      <c r="A49" s="9">
        <v>361</v>
      </c>
      <c r="B49" s="6">
        <v>2000001000787020</v>
      </c>
      <c r="C49">
        <v>48</v>
      </c>
      <c r="E49">
        <v>1000</v>
      </c>
      <c r="F49">
        <v>2</v>
      </c>
      <c r="G49">
        <v>1</v>
      </c>
      <c r="H49" t="s">
        <v>37</v>
      </c>
      <c r="I49">
        <v>70</v>
      </c>
      <c r="J49">
        <v>0.82</v>
      </c>
      <c r="K49">
        <v>178</v>
      </c>
      <c r="L49">
        <v>70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ht="15.5" x14ac:dyDescent="0.35">
      <c r="A50" s="9">
        <v>361</v>
      </c>
      <c r="B50" s="6">
        <v>2000001000787020</v>
      </c>
      <c r="C50">
        <v>36</v>
      </c>
      <c r="E50">
        <v>1000</v>
      </c>
      <c r="F50">
        <v>2</v>
      </c>
      <c r="G50">
        <v>1</v>
      </c>
      <c r="H50" t="s">
        <v>37</v>
      </c>
      <c r="I50">
        <v>70</v>
      </c>
      <c r="J50">
        <v>0.82</v>
      </c>
      <c r="K50">
        <v>178</v>
      </c>
      <c r="L50">
        <v>70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ht="15.5" x14ac:dyDescent="0.35">
      <c r="A51" s="9">
        <v>361</v>
      </c>
      <c r="B51" s="6">
        <v>2000001000787020</v>
      </c>
      <c r="C51">
        <v>71.5</v>
      </c>
      <c r="D51">
        <v>9</v>
      </c>
      <c r="G51">
        <v>0</v>
      </c>
      <c r="H51" t="s">
        <v>37</v>
      </c>
      <c r="I51">
        <v>70</v>
      </c>
      <c r="J51">
        <v>0.82</v>
      </c>
      <c r="K51">
        <v>178</v>
      </c>
      <c r="L51">
        <v>70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ht="15.5" x14ac:dyDescent="0.35">
      <c r="A52" s="9">
        <v>434</v>
      </c>
      <c r="B52" s="6">
        <v>23006959</v>
      </c>
      <c r="C52">
        <v>0</v>
      </c>
      <c r="E52">
        <v>750</v>
      </c>
      <c r="F52">
        <v>1</v>
      </c>
      <c r="G52">
        <v>1</v>
      </c>
      <c r="H52" t="s">
        <v>37</v>
      </c>
      <c r="I52">
        <v>81</v>
      </c>
      <c r="J52">
        <v>0.98</v>
      </c>
      <c r="K52">
        <v>175</v>
      </c>
      <c r="L52">
        <v>75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</row>
    <row r="53" spans="1:18" ht="15.5" x14ac:dyDescent="0.35">
      <c r="A53" s="9">
        <v>434</v>
      </c>
      <c r="B53" s="6">
        <v>23006959</v>
      </c>
      <c r="C53">
        <v>12</v>
      </c>
      <c r="E53">
        <v>750</v>
      </c>
      <c r="F53">
        <v>1</v>
      </c>
      <c r="G53">
        <v>1</v>
      </c>
      <c r="H53" t="s">
        <v>37</v>
      </c>
      <c r="I53">
        <v>81</v>
      </c>
      <c r="J53">
        <v>0.98</v>
      </c>
      <c r="K53">
        <v>175</v>
      </c>
      <c r="L53">
        <v>75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</row>
    <row r="54" spans="1:18" ht="15.5" x14ac:dyDescent="0.35">
      <c r="A54" s="9">
        <v>434</v>
      </c>
      <c r="B54" s="6">
        <v>23006959</v>
      </c>
      <c r="C54">
        <v>24</v>
      </c>
      <c r="E54">
        <v>750</v>
      </c>
      <c r="F54">
        <v>1</v>
      </c>
      <c r="G54">
        <v>1</v>
      </c>
      <c r="H54" t="s">
        <v>37</v>
      </c>
      <c r="I54">
        <v>81</v>
      </c>
      <c r="J54">
        <v>1.01</v>
      </c>
      <c r="K54">
        <v>175</v>
      </c>
      <c r="L54">
        <v>75</v>
      </c>
      <c r="M54">
        <v>1</v>
      </c>
      <c r="N54">
        <v>1</v>
      </c>
      <c r="O54">
        <v>1</v>
      </c>
      <c r="P54">
        <v>0</v>
      </c>
      <c r="Q54">
        <v>0</v>
      </c>
      <c r="R54">
        <v>0</v>
      </c>
    </row>
    <row r="55" spans="1:18" ht="15.5" x14ac:dyDescent="0.35">
      <c r="A55" s="9">
        <v>434</v>
      </c>
      <c r="B55" s="6">
        <v>23006959</v>
      </c>
      <c r="C55">
        <v>36</v>
      </c>
      <c r="E55">
        <v>750</v>
      </c>
      <c r="F55">
        <v>1</v>
      </c>
      <c r="G55">
        <v>1</v>
      </c>
      <c r="H55" t="s">
        <v>37</v>
      </c>
      <c r="I55">
        <v>81</v>
      </c>
      <c r="J55">
        <v>1.01</v>
      </c>
      <c r="K55">
        <v>175</v>
      </c>
      <c r="L55">
        <v>75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</row>
    <row r="56" spans="1:18" ht="15.5" x14ac:dyDescent="0.35">
      <c r="A56" s="9">
        <v>434</v>
      </c>
      <c r="B56" s="6">
        <v>23006959</v>
      </c>
      <c r="C56">
        <v>47.5</v>
      </c>
      <c r="D56">
        <v>11</v>
      </c>
      <c r="G56">
        <v>0</v>
      </c>
      <c r="H56" t="s">
        <v>37</v>
      </c>
      <c r="I56">
        <v>81</v>
      </c>
      <c r="J56">
        <v>0.71</v>
      </c>
      <c r="K56">
        <v>175</v>
      </c>
      <c r="L56">
        <v>75</v>
      </c>
      <c r="M56">
        <v>1</v>
      </c>
      <c r="N56">
        <v>1</v>
      </c>
      <c r="O56">
        <v>1</v>
      </c>
      <c r="P56">
        <v>0</v>
      </c>
      <c r="Q56">
        <v>0</v>
      </c>
      <c r="R56">
        <v>0</v>
      </c>
    </row>
    <row r="57" spans="1:18" ht="15.5" x14ac:dyDescent="0.35">
      <c r="A57" s="9">
        <v>434</v>
      </c>
      <c r="B57" s="6">
        <v>23006959</v>
      </c>
      <c r="C57">
        <v>48</v>
      </c>
      <c r="E57">
        <v>750</v>
      </c>
      <c r="F57">
        <v>1</v>
      </c>
      <c r="G57">
        <v>1</v>
      </c>
      <c r="H57" t="s">
        <v>37</v>
      </c>
      <c r="I57">
        <v>81</v>
      </c>
      <c r="J57">
        <v>0.71</v>
      </c>
      <c r="K57">
        <v>175</v>
      </c>
      <c r="L57">
        <v>75</v>
      </c>
      <c r="M57">
        <v>1</v>
      </c>
      <c r="N57">
        <v>1</v>
      </c>
      <c r="O57">
        <v>1</v>
      </c>
      <c r="P57">
        <v>0</v>
      </c>
      <c r="Q57">
        <v>0</v>
      </c>
      <c r="R57">
        <v>0</v>
      </c>
    </row>
    <row r="58" spans="1:18" x14ac:dyDescent="0.35">
      <c r="A58" s="9">
        <v>440</v>
      </c>
      <c r="B58">
        <v>23123133</v>
      </c>
      <c r="C58">
        <v>0</v>
      </c>
      <c r="E58">
        <v>2000</v>
      </c>
      <c r="F58">
        <v>3</v>
      </c>
      <c r="G58">
        <v>1</v>
      </c>
      <c r="H58" t="s">
        <v>37</v>
      </c>
      <c r="I58">
        <v>80</v>
      </c>
      <c r="J58">
        <v>0.91</v>
      </c>
      <c r="K58">
        <v>176</v>
      </c>
      <c r="L58">
        <v>70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</row>
    <row r="59" spans="1:18" x14ac:dyDescent="0.35">
      <c r="A59" s="9">
        <v>440</v>
      </c>
      <c r="B59">
        <v>23123133</v>
      </c>
      <c r="C59">
        <v>3</v>
      </c>
      <c r="E59">
        <v>1500</v>
      </c>
      <c r="F59">
        <v>24</v>
      </c>
      <c r="G59">
        <v>1</v>
      </c>
      <c r="H59" t="s">
        <v>37</v>
      </c>
      <c r="I59">
        <v>80</v>
      </c>
      <c r="J59">
        <v>0.91</v>
      </c>
      <c r="K59">
        <v>176</v>
      </c>
      <c r="L59">
        <v>70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 s="9">
        <v>440</v>
      </c>
      <c r="B60">
        <v>23123133</v>
      </c>
      <c r="C60">
        <v>27</v>
      </c>
      <c r="E60">
        <v>1500</v>
      </c>
      <c r="F60">
        <v>24</v>
      </c>
      <c r="G60">
        <v>1</v>
      </c>
      <c r="H60" t="s">
        <v>37</v>
      </c>
      <c r="I60">
        <v>80</v>
      </c>
      <c r="J60">
        <v>0.91</v>
      </c>
      <c r="K60">
        <v>176</v>
      </c>
      <c r="L60">
        <v>70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 s="9">
        <v>440</v>
      </c>
      <c r="B61">
        <v>23123133</v>
      </c>
      <c r="C61">
        <v>50.5</v>
      </c>
      <c r="D61">
        <v>24</v>
      </c>
      <c r="G61">
        <v>0</v>
      </c>
      <c r="H61" t="s">
        <v>37</v>
      </c>
      <c r="I61">
        <v>80</v>
      </c>
      <c r="J61">
        <v>0.81</v>
      </c>
      <c r="K61">
        <v>176</v>
      </c>
      <c r="L61">
        <v>70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 s="9">
        <v>440</v>
      </c>
      <c r="B62">
        <v>23123133</v>
      </c>
      <c r="C62">
        <v>51</v>
      </c>
      <c r="E62">
        <v>1500</v>
      </c>
      <c r="F62">
        <v>24</v>
      </c>
      <c r="G62">
        <v>1</v>
      </c>
      <c r="H62" t="s">
        <v>37</v>
      </c>
      <c r="I62">
        <v>80</v>
      </c>
      <c r="J62">
        <v>0.81</v>
      </c>
      <c r="K62">
        <v>176</v>
      </c>
      <c r="L62">
        <v>70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 s="9">
        <v>440</v>
      </c>
      <c r="B63">
        <v>23123133</v>
      </c>
      <c r="C63">
        <v>75</v>
      </c>
      <c r="E63">
        <v>1500</v>
      </c>
      <c r="F63">
        <v>1</v>
      </c>
      <c r="G63">
        <v>1</v>
      </c>
      <c r="H63" t="s">
        <v>37</v>
      </c>
      <c r="I63">
        <v>80</v>
      </c>
      <c r="J63">
        <v>0.81</v>
      </c>
      <c r="K63">
        <v>176</v>
      </c>
      <c r="L63">
        <v>70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 s="9">
        <v>440</v>
      </c>
      <c r="B64">
        <v>23123133</v>
      </c>
      <c r="C64">
        <v>99</v>
      </c>
      <c r="E64">
        <v>1500</v>
      </c>
      <c r="F64">
        <v>1</v>
      </c>
      <c r="G64">
        <v>1</v>
      </c>
      <c r="H64" t="s">
        <v>37</v>
      </c>
      <c r="I64">
        <v>80</v>
      </c>
      <c r="J64">
        <v>0.81</v>
      </c>
      <c r="K64">
        <v>176</v>
      </c>
      <c r="L64">
        <v>70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 s="9">
        <v>440</v>
      </c>
      <c r="B65">
        <v>23123133</v>
      </c>
      <c r="C65">
        <v>122.5</v>
      </c>
      <c r="D65">
        <v>27</v>
      </c>
      <c r="G65">
        <v>0</v>
      </c>
      <c r="H65" t="s">
        <v>37</v>
      </c>
      <c r="I65">
        <v>80</v>
      </c>
      <c r="J65">
        <v>0.81</v>
      </c>
      <c r="K65">
        <v>176</v>
      </c>
      <c r="L65">
        <v>70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 s="9">
        <v>440</v>
      </c>
      <c r="B66">
        <v>23123133</v>
      </c>
      <c r="C66">
        <v>123</v>
      </c>
      <c r="E66">
        <v>1500</v>
      </c>
      <c r="F66">
        <v>24</v>
      </c>
      <c r="G66">
        <v>1</v>
      </c>
      <c r="H66" t="s">
        <v>37</v>
      </c>
      <c r="I66">
        <v>80</v>
      </c>
      <c r="J66">
        <v>0.81</v>
      </c>
      <c r="K66">
        <v>176</v>
      </c>
      <c r="L66">
        <v>70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 s="9">
        <v>441</v>
      </c>
      <c r="B67">
        <v>23125077</v>
      </c>
      <c r="C67">
        <v>0</v>
      </c>
      <c r="E67">
        <v>1500</v>
      </c>
      <c r="F67">
        <v>3</v>
      </c>
      <c r="G67">
        <v>1</v>
      </c>
      <c r="H67" t="s">
        <v>39</v>
      </c>
      <c r="I67">
        <v>63</v>
      </c>
      <c r="J67">
        <v>0.43</v>
      </c>
      <c r="K67">
        <v>168</v>
      </c>
      <c r="L67">
        <v>67</v>
      </c>
      <c r="M67">
        <v>0</v>
      </c>
      <c r="N67">
        <v>0</v>
      </c>
      <c r="O67">
        <v>0</v>
      </c>
      <c r="P67">
        <v>1</v>
      </c>
      <c r="Q67">
        <v>1</v>
      </c>
      <c r="R67">
        <v>1</v>
      </c>
    </row>
    <row r="68" spans="1:18" x14ac:dyDescent="0.35">
      <c r="A68" s="9">
        <v>441</v>
      </c>
      <c r="B68">
        <v>23125077</v>
      </c>
      <c r="C68">
        <v>3</v>
      </c>
      <c r="E68">
        <v>1750</v>
      </c>
      <c r="F68">
        <v>24</v>
      </c>
      <c r="G68">
        <v>1</v>
      </c>
      <c r="H68" t="s">
        <v>39</v>
      </c>
      <c r="I68">
        <v>63</v>
      </c>
      <c r="J68">
        <v>0.43</v>
      </c>
      <c r="K68">
        <v>168</v>
      </c>
      <c r="L68">
        <v>67</v>
      </c>
      <c r="M68">
        <v>0</v>
      </c>
      <c r="N68">
        <v>0</v>
      </c>
      <c r="O68">
        <v>0</v>
      </c>
      <c r="P68">
        <v>1</v>
      </c>
      <c r="Q68">
        <v>1</v>
      </c>
      <c r="R68">
        <v>1</v>
      </c>
    </row>
    <row r="69" spans="1:18" x14ac:dyDescent="0.35">
      <c r="A69" s="9">
        <v>441</v>
      </c>
      <c r="B69">
        <v>23125077</v>
      </c>
      <c r="C69">
        <v>26.5</v>
      </c>
      <c r="D69">
        <v>28</v>
      </c>
      <c r="G69">
        <v>0</v>
      </c>
      <c r="H69" t="s">
        <v>39</v>
      </c>
      <c r="I69">
        <v>63</v>
      </c>
      <c r="J69">
        <v>0.43</v>
      </c>
      <c r="K69">
        <v>168</v>
      </c>
      <c r="L69">
        <v>67</v>
      </c>
      <c r="M69">
        <v>0</v>
      </c>
      <c r="N69">
        <v>0</v>
      </c>
      <c r="O69">
        <v>0</v>
      </c>
      <c r="P69">
        <v>1</v>
      </c>
      <c r="Q69">
        <v>1</v>
      </c>
      <c r="R69">
        <v>1</v>
      </c>
    </row>
    <row r="70" spans="1:18" x14ac:dyDescent="0.35">
      <c r="A70" s="9">
        <v>441</v>
      </c>
      <c r="B70">
        <v>23125077</v>
      </c>
      <c r="C70">
        <v>27</v>
      </c>
      <c r="E70">
        <v>1750</v>
      </c>
      <c r="F70">
        <v>24</v>
      </c>
      <c r="G70">
        <v>1</v>
      </c>
      <c r="H70" t="s">
        <v>39</v>
      </c>
      <c r="I70">
        <v>63</v>
      </c>
      <c r="J70">
        <v>0.43</v>
      </c>
      <c r="K70">
        <v>168</v>
      </c>
      <c r="L70">
        <v>67</v>
      </c>
      <c r="M70">
        <v>0</v>
      </c>
      <c r="N70">
        <v>0</v>
      </c>
      <c r="O70">
        <v>0</v>
      </c>
      <c r="P70">
        <v>1</v>
      </c>
      <c r="Q70">
        <v>1</v>
      </c>
      <c r="R70">
        <v>1</v>
      </c>
    </row>
    <row r="71" spans="1:18" ht="15.5" x14ac:dyDescent="0.35">
      <c r="A71" s="9">
        <v>446</v>
      </c>
      <c r="B71" s="6">
        <v>23129556</v>
      </c>
      <c r="C71">
        <v>0</v>
      </c>
      <c r="E71">
        <v>500</v>
      </c>
      <c r="F71">
        <v>1</v>
      </c>
      <c r="G71">
        <v>1</v>
      </c>
      <c r="H71" t="s">
        <v>37</v>
      </c>
      <c r="I71">
        <v>63</v>
      </c>
      <c r="J71">
        <v>0.73</v>
      </c>
      <c r="K71">
        <v>180</v>
      </c>
      <c r="L71">
        <v>83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</row>
    <row r="72" spans="1:18" ht="15.5" x14ac:dyDescent="0.35">
      <c r="A72" s="9">
        <v>446</v>
      </c>
      <c r="B72" s="6">
        <v>23129556</v>
      </c>
      <c r="C72">
        <v>6</v>
      </c>
      <c r="E72">
        <v>500</v>
      </c>
      <c r="F72">
        <v>1</v>
      </c>
      <c r="G72">
        <v>1</v>
      </c>
      <c r="H72" t="s">
        <v>37</v>
      </c>
      <c r="I72">
        <v>63</v>
      </c>
      <c r="J72">
        <v>0.73</v>
      </c>
      <c r="K72">
        <v>180</v>
      </c>
      <c r="L72">
        <v>83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</row>
    <row r="73" spans="1:18" ht="15.5" x14ac:dyDescent="0.35">
      <c r="A73" s="9">
        <v>446</v>
      </c>
      <c r="B73" s="6">
        <v>23129556</v>
      </c>
      <c r="C73">
        <v>12</v>
      </c>
      <c r="E73">
        <v>500</v>
      </c>
      <c r="F73">
        <v>1</v>
      </c>
      <c r="G73">
        <v>1</v>
      </c>
      <c r="H73" t="s">
        <v>37</v>
      </c>
      <c r="I73">
        <v>63</v>
      </c>
      <c r="J73">
        <v>0.73</v>
      </c>
      <c r="K73">
        <v>180</v>
      </c>
      <c r="L73">
        <v>83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</row>
    <row r="74" spans="1:18" ht="15.5" x14ac:dyDescent="0.35">
      <c r="A74" s="9">
        <v>446</v>
      </c>
      <c r="B74" s="6">
        <v>23129556</v>
      </c>
      <c r="C74">
        <v>18</v>
      </c>
      <c r="E74">
        <v>500</v>
      </c>
      <c r="F74">
        <v>1</v>
      </c>
      <c r="G74">
        <v>1</v>
      </c>
      <c r="H74" t="s">
        <v>37</v>
      </c>
      <c r="I74">
        <v>63</v>
      </c>
      <c r="J74">
        <v>0.73</v>
      </c>
      <c r="K74">
        <v>180</v>
      </c>
      <c r="L74">
        <v>83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</row>
    <row r="75" spans="1:18" ht="15.5" x14ac:dyDescent="0.35">
      <c r="A75" s="9">
        <v>446</v>
      </c>
      <c r="B75" s="6">
        <v>23129556</v>
      </c>
      <c r="C75">
        <v>23.5</v>
      </c>
      <c r="D75">
        <v>10</v>
      </c>
      <c r="G75">
        <v>0</v>
      </c>
      <c r="H75" t="s">
        <v>37</v>
      </c>
      <c r="I75">
        <v>63</v>
      </c>
      <c r="J75">
        <v>0.87</v>
      </c>
      <c r="K75">
        <v>180</v>
      </c>
      <c r="L75">
        <v>83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</row>
    <row r="76" spans="1:18" ht="15.5" x14ac:dyDescent="0.35">
      <c r="A76" s="9">
        <v>446</v>
      </c>
      <c r="B76" s="6">
        <v>23129556</v>
      </c>
      <c r="C76">
        <v>24</v>
      </c>
      <c r="E76">
        <v>500</v>
      </c>
      <c r="F76">
        <v>1</v>
      </c>
      <c r="G76">
        <v>1</v>
      </c>
      <c r="H76" t="s">
        <v>37</v>
      </c>
      <c r="I76">
        <v>63</v>
      </c>
      <c r="J76">
        <v>0.87</v>
      </c>
      <c r="K76">
        <v>180</v>
      </c>
      <c r="L76">
        <v>83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</row>
    <row r="77" spans="1:18" ht="14.5" customHeight="1" x14ac:dyDescent="0.35">
      <c r="A77" s="9">
        <v>446</v>
      </c>
      <c r="B77" s="6">
        <v>23129556</v>
      </c>
      <c r="C77">
        <v>30</v>
      </c>
      <c r="E77">
        <v>500</v>
      </c>
      <c r="F77">
        <v>1</v>
      </c>
      <c r="G77">
        <v>1</v>
      </c>
      <c r="H77" t="s">
        <v>37</v>
      </c>
      <c r="I77">
        <v>63</v>
      </c>
      <c r="J77">
        <v>0.87</v>
      </c>
      <c r="K77">
        <v>180</v>
      </c>
      <c r="L77">
        <v>83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</row>
    <row r="78" spans="1:18" ht="15.5" x14ac:dyDescent="0.35">
      <c r="A78" s="9">
        <v>446</v>
      </c>
      <c r="B78" s="6">
        <v>23129556</v>
      </c>
      <c r="C78">
        <v>36</v>
      </c>
      <c r="E78">
        <v>500</v>
      </c>
      <c r="F78">
        <v>1</v>
      </c>
      <c r="G78">
        <v>1</v>
      </c>
      <c r="H78" t="s">
        <v>37</v>
      </c>
      <c r="I78">
        <v>63</v>
      </c>
      <c r="J78">
        <v>0.87</v>
      </c>
      <c r="K78">
        <v>180</v>
      </c>
      <c r="L78">
        <v>83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</row>
    <row r="79" spans="1:18" ht="15.5" x14ac:dyDescent="0.35">
      <c r="A79" s="9">
        <v>446</v>
      </c>
      <c r="B79" s="6">
        <v>23129556</v>
      </c>
      <c r="C79">
        <v>42</v>
      </c>
      <c r="E79">
        <v>500</v>
      </c>
      <c r="F79">
        <v>1</v>
      </c>
      <c r="G79">
        <v>1</v>
      </c>
      <c r="H79" t="s">
        <v>37</v>
      </c>
      <c r="I79">
        <v>63</v>
      </c>
      <c r="J79">
        <v>0.87</v>
      </c>
      <c r="K79">
        <v>180</v>
      </c>
      <c r="L79">
        <v>83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</row>
    <row r="80" spans="1:18" ht="15.5" x14ac:dyDescent="0.35">
      <c r="A80" s="9">
        <v>446</v>
      </c>
      <c r="B80" s="6">
        <v>23129556</v>
      </c>
      <c r="C80">
        <v>47.5</v>
      </c>
      <c r="D80">
        <v>15</v>
      </c>
      <c r="G80">
        <v>0</v>
      </c>
      <c r="H80" t="s">
        <v>37</v>
      </c>
      <c r="I80">
        <v>63</v>
      </c>
      <c r="J80">
        <v>0.87</v>
      </c>
      <c r="K80">
        <v>180</v>
      </c>
      <c r="L80">
        <v>83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</row>
    <row r="81" spans="1:18" ht="15.5" x14ac:dyDescent="0.35">
      <c r="A81" s="9">
        <v>446</v>
      </c>
      <c r="B81" s="6">
        <v>23129556</v>
      </c>
      <c r="C81">
        <v>48</v>
      </c>
      <c r="E81">
        <v>500</v>
      </c>
      <c r="F81">
        <v>1</v>
      </c>
      <c r="G81">
        <v>1</v>
      </c>
      <c r="H81" t="s">
        <v>37</v>
      </c>
      <c r="I81">
        <v>63</v>
      </c>
      <c r="J81">
        <v>0.87</v>
      </c>
      <c r="K81">
        <v>180</v>
      </c>
      <c r="L81">
        <v>83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</row>
    <row r="82" spans="1:18" ht="15.5" x14ac:dyDescent="0.35">
      <c r="A82" s="9">
        <v>448</v>
      </c>
      <c r="B82" s="6">
        <v>23007615</v>
      </c>
      <c r="C82">
        <v>0</v>
      </c>
      <c r="E82">
        <v>1000</v>
      </c>
      <c r="F82">
        <v>1</v>
      </c>
      <c r="G82">
        <v>1</v>
      </c>
      <c r="H82" t="s">
        <v>37</v>
      </c>
      <c r="I82">
        <v>84</v>
      </c>
      <c r="J82">
        <v>0.88</v>
      </c>
      <c r="K82">
        <v>177</v>
      </c>
      <c r="L82">
        <v>45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</row>
    <row r="83" spans="1:18" ht="15.5" x14ac:dyDescent="0.35">
      <c r="A83" s="9">
        <v>448</v>
      </c>
      <c r="B83" s="6">
        <v>23007615</v>
      </c>
      <c r="C83">
        <v>24</v>
      </c>
      <c r="E83">
        <v>500</v>
      </c>
      <c r="F83">
        <v>1</v>
      </c>
      <c r="G83">
        <v>1</v>
      </c>
      <c r="H83" t="s">
        <v>37</v>
      </c>
      <c r="I83">
        <v>84</v>
      </c>
      <c r="J83">
        <v>0.88</v>
      </c>
      <c r="K83">
        <v>177</v>
      </c>
      <c r="L83">
        <v>45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ht="15.5" x14ac:dyDescent="0.35">
      <c r="A84" s="9">
        <v>448</v>
      </c>
      <c r="B84" s="6">
        <v>23007615</v>
      </c>
      <c r="C84">
        <v>47.5</v>
      </c>
      <c r="D84">
        <v>8</v>
      </c>
      <c r="G84">
        <v>0</v>
      </c>
      <c r="H84" t="s">
        <v>37</v>
      </c>
      <c r="I84">
        <v>84</v>
      </c>
      <c r="J84">
        <v>0.84</v>
      </c>
      <c r="K84">
        <v>177</v>
      </c>
      <c r="L84">
        <v>45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ht="15.5" x14ac:dyDescent="0.35">
      <c r="A85" s="9">
        <v>448</v>
      </c>
      <c r="B85" s="6">
        <v>23007615</v>
      </c>
      <c r="C85">
        <v>48</v>
      </c>
      <c r="E85">
        <v>750</v>
      </c>
      <c r="F85">
        <v>1</v>
      </c>
      <c r="G85">
        <v>1</v>
      </c>
      <c r="H85" t="s">
        <v>37</v>
      </c>
      <c r="I85">
        <v>84</v>
      </c>
      <c r="J85">
        <v>0.84</v>
      </c>
      <c r="K85">
        <v>177</v>
      </c>
      <c r="L85">
        <v>45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ht="15.5" x14ac:dyDescent="0.35">
      <c r="A86" s="9">
        <v>448</v>
      </c>
      <c r="B86" s="6">
        <v>23007615</v>
      </c>
      <c r="C86">
        <v>72</v>
      </c>
      <c r="E86">
        <v>750</v>
      </c>
      <c r="F86">
        <v>1</v>
      </c>
      <c r="G86">
        <v>1</v>
      </c>
      <c r="H86" t="s">
        <v>37</v>
      </c>
      <c r="I86">
        <v>84</v>
      </c>
      <c r="J86">
        <v>0.96</v>
      </c>
      <c r="K86">
        <v>177</v>
      </c>
      <c r="L86">
        <v>45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ht="15.5" x14ac:dyDescent="0.35">
      <c r="A87" s="9">
        <v>448</v>
      </c>
      <c r="B87" s="6">
        <v>23007615</v>
      </c>
      <c r="C87">
        <v>95.5</v>
      </c>
      <c r="D87">
        <v>10</v>
      </c>
      <c r="G87">
        <v>0</v>
      </c>
      <c r="H87" t="s">
        <v>37</v>
      </c>
      <c r="I87">
        <v>84</v>
      </c>
      <c r="J87">
        <v>0.96</v>
      </c>
      <c r="K87">
        <v>177</v>
      </c>
      <c r="L87">
        <v>45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ht="15.5" x14ac:dyDescent="0.35">
      <c r="A88" s="9">
        <v>448</v>
      </c>
      <c r="B88" s="6">
        <v>23007615</v>
      </c>
      <c r="C88">
        <v>96</v>
      </c>
      <c r="E88">
        <v>750</v>
      </c>
      <c r="F88">
        <v>1</v>
      </c>
      <c r="G88">
        <v>1</v>
      </c>
      <c r="H88" t="s">
        <v>37</v>
      </c>
      <c r="I88">
        <v>84</v>
      </c>
      <c r="J88">
        <v>0.96</v>
      </c>
      <c r="K88">
        <v>177</v>
      </c>
      <c r="L88">
        <v>45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ht="15.5" x14ac:dyDescent="0.35">
      <c r="A89" s="10">
        <v>451</v>
      </c>
      <c r="B89" s="6">
        <v>23119417</v>
      </c>
      <c r="C89">
        <v>0</v>
      </c>
      <c r="E89">
        <v>1000</v>
      </c>
      <c r="F89">
        <v>2</v>
      </c>
      <c r="G89">
        <v>1</v>
      </c>
      <c r="H89" t="s">
        <v>39</v>
      </c>
      <c r="I89">
        <v>61</v>
      </c>
      <c r="J89">
        <v>10</v>
      </c>
      <c r="K89">
        <v>180</v>
      </c>
      <c r="L89">
        <v>83</v>
      </c>
      <c r="M89">
        <v>1</v>
      </c>
      <c r="N89">
        <v>0</v>
      </c>
      <c r="O89">
        <v>0</v>
      </c>
      <c r="P89">
        <v>0</v>
      </c>
      <c r="Q89">
        <v>1</v>
      </c>
      <c r="R89">
        <v>1</v>
      </c>
    </row>
    <row r="90" spans="1:18" ht="15.5" x14ac:dyDescent="0.35">
      <c r="A90" s="10">
        <v>451</v>
      </c>
      <c r="B90" s="6">
        <v>23119417</v>
      </c>
      <c r="C90">
        <v>47.5</v>
      </c>
      <c r="D90">
        <v>22</v>
      </c>
      <c r="G90">
        <v>0</v>
      </c>
      <c r="H90" t="s">
        <v>39</v>
      </c>
      <c r="I90">
        <v>61</v>
      </c>
      <c r="J90">
        <v>10</v>
      </c>
      <c r="K90">
        <v>180</v>
      </c>
      <c r="L90">
        <v>83</v>
      </c>
      <c r="M90">
        <v>1</v>
      </c>
      <c r="N90">
        <v>0</v>
      </c>
      <c r="O90">
        <v>0</v>
      </c>
      <c r="P90">
        <v>0</v>
      </c>
      <c r="Q90">
        <v>1</v>
      </c>
      <c r="R90">
        <v>0</v>
      </c>
    </row>
    <row r="91" spans="1:18" ht="15.5" x14ac:dyDescent="0.35">
      <c r="A91" s="10">
        <v>451</v>
      </c>
      <c r="B91" s="6">
        <v>23119417</v>
      </c>
      <c r="C91">
        <v>48</v>
      </c>
      <c r="E91">
        <v>500</v>
      </c>
      <c r="F91">
        <v>1</v>
      </c>
      <c r="G91">
        <v>1</v>
      </c>
      <c r="H91" t="s">
        <v>39</v>
      </c>
      <c r="I91">
        <v>61</v>
      </c>
      <c r="J91">
        <v>10</v>
      </c>
      <c r="K91">
        <v>180</v>
      </c>
      <c r="L91">
        <v>83</v>
      </c>
      <c r="M91">
        <v>1</v>
      </c>
      <c r="N91">
        <v>0</v>
      </c>
      <c r="O91">
        <v>0</v>
      </c>
      <c r="P91">
        <v>0</v>
      </c>
      <c r="Q91">
        <v>1</v>
      </c>
      <c r="R91">
        <v>0</v>
      </c>
    </row>
    <row r="92" spans="1:18" ht="15.5" x14ac:dyDescent="0.35">
      <c r="A92" s="10">
        <v>451</v>
      </c>
      <c r="B92" s="6">
        <v>23119417</v>
      </c>
      <c r="C92">
        <v>95.5</v>
      </c>
      <c r="D92">
        <v>24</v>
      </c>
      <c r="G92">
        <v>0</v>
      </c>
      <c r="H92" t="s">
        <v>39</v>
      </c>
      <c r="I92">
        <v>61</v>
      </c>
      <c r="J92">
        <v>10</v>
      </c>
      <c r="K92">
        <v>180</v>
      </c>
      <c r="L92">
        <v>83</v>
      </c>
      <c r="M92">
        <v>1</v>
      </c>
      <c r="N92">
        <v>0</v>
      </c>
      <c r="O92">
        <v>0</v>
      </c>
      <c r="P92">
        <v>0</v>
      </c>
      <c r="Q92">
        <v>1</v>
      </c>
      <c r="R92">
        <v>0</v>
      </c>
    </row>
    <row r="93" spans="1:18" ht="15.5" x14ac:dyDescent="0.35">
      <c r="A93" s="10">
        <v>451</v>
      </c>
      <c r="B93" s="6">
        <v>23119417</v>
      </c>
      <c r="C93">
        <v>96</v>
      </c>
      <c r="E93">
        <v>500</v>
      </c>
      <c r="F93">
        <v>1</v>
      </c>
      <c r="G93">
        <v>1</v>
      </c>
      <c r="H93" t="s">
        <v>39</v>
      </c>
      <c r="I93">
        <v>61</v>
      </c>
      <c r="J93">
        <v>10</v>
      </c>
      <c r="K93">
        <v>180</v>
      </c>
      <c r="L93">
        <v>83</v>
      </c>
      <c r="M93">
        <v>1</v>
      </c>
      <c r="N93">
        <v>0</v>
      </c>
      <c r="O93">
        <v>0</v>
      </c>
      <c r="P93">
        <v>1</v>
      </c>
      <c r="Q93">
        <v>1</v>
      </c>
      <c r="R93">
        <v>1</v>
      </c>
    </row>
    <row r="94" spans="1:18" ht="15.5" x14ac:dyDescent="0.35">
      <c r="A94" s="10">
        <v>466</v>
      </c>
      <c r="B94" s="6">
        <v>23127896</v>
      </c>
      <c r="C94">
        <v>0</v>
      </c>
      <c r="E94">
        <v>2000</v>
      </c>
      <c r="F94">
        <v>3</v>
      </c>
      <c r="G94">
        <v>1</v>
      </c>
      <c r="H94" t="s">
        <v>39</v>
      </c>
      <c r="I94">
        <v>43</v>
      </c>
      <c r="J94">
        <v>0.5</v>
      </c>
      <c r="K94">
        <v>170</v>
      </c>
      <c r="L94">
        <v>58</v>
      </c>
      <c r="M94">
        <v>0</v>
      </c>
      <c r="N94">
        <v>1</v>
      </c>
      <c r="O94">
        <v>0</v>
      </c>
      <c r="P94">
        <v>1</v>
      </c>
      <c r="Q94">
        <v>1</v>
      </c>
      <c r="R94">
        <v>1</v>
      </c>
    </row>
    <row r="95" spans="1:18" ht="15.5" x14ac:dyDescent="0.35">
      <c r="A95" s="10">
        <v>466</v>
      </c>
      <c r="B95" s="6">
        <v>23127896</v>
      </c>
      <c r="C95">
        <v>3</v>
      </c>
      <c r="E95">
        <v>1500</v>
      </c>
      <c r="F95">
        <v>24</v>
      </c>
      <c r="G95">
        <v>1</v>
      </c>
      <c r="H95" t="s">
        <v>39</v>
      </c>
      <c r="I95">
        <v>43</v>
      </c>
      <c r="J95">
        <v>0.5</v>
      </c>
      <c r="K95">
        <v>170</v>
      </c>
      <c r="L95">
        <v>58</v>
      </c>
      <c r="M95">
        <v>0</v>
      </c>
      <c r="N95">
        <v>1</v>
      </c>
      <c r="O95">
        <v>0</v>
      </c>
      <c r="P95">
        <v>1</v>
      </c>
      <c r="Q95">
        <v>1</v>
      </c>
      <c r="R95">
        <v>0</v>
      </c>
    </row>
    <row r="96" spans="1:18" ht="15.5" x14ac:dyDescent="0.35">
      <c r="A96" s="10">
        <v>466</v>
      </c>
      <c r="B96" s="6">
        <v>23127896</v>
      </c>
      <c r="C96">
        <v>27</v>
      </c>
      <c r="E96">
        <v>1500</v>
      </c>
      <c r="F96">
        <v>24</v>
      </c>
      <c r="G96">
        <v>1</v>
      </c>
      <c r="H96" t="s">
        <v>39</v>
      </c>
      <c r="I96">
        <v>43</v>
      </c>
      <c r="J96">
        <v>0.5</v>
      </c>
      <c r="K96">
        <v>170</v>
      </c>
      <c r="L96">
        <v>58</v>
      </c>
      <c r="M96">
        <v>0</v>
      </c>
      <c r="N96">
        <v>1</v>
      </c>
      <c r="O96">
        <v>0</v>
      </c>
      <c r="P96">
        <v>1</v>
      </c>
      <c r="Q96">
        <v>1</v>
      </c>
      <c r="R96">
        <v>0</v>
      </c>
    </row>
    <row r="97" spans="1:18" ht="15.5" x14ac:dyDescent="0.35">
      <c r="A97" s="10">
        <v>466</v>
      </c>
      <c r="B97" s="6">
        <v>23127896</v>
      </c>
      <c r="C97">
        <v>50.5</v>
      </c>
      <c r="D97">
        <v>19</v>
      </c>
      <c r="G97">
        <v>0</v>
      </c>
      <c r="H97" t="s">
        <v>39</v>
      </c>
      <c r="I97">
        <v>43</v>
      </c>
      <c r="J97">
        <v>0.5</v>
      </c>
      <c r="K97">
        <v>170</v>
      </c>
      <c r="L97">
        <v>58</v>
      </c>
      <c r="M97">
        <v>0</v>
      </c>
      <c r="N97">
        <v>1</v>
      </c>
      <c r="O97">
        <v>0</v>
      </c>
      <c r="P97">
        <v>1</v>
      </c>
      <c r="Q97">
        <v>1</v>
      </c>
      <c r="R97">
        <v>0</v>
      </c>
    </row>
    <row r="98" spans="1:18" ht="15.5" x14ac:dyDescent="0.35">
      <c r="A98" s="10">
        <v>466</v>
      </c>
      <c r="B98" s="6">
        <v>23127896</v>
      </c>
      <c r="C98">
        <v>51</v>
      </c>
      <c r="E98">
        <v>1750</v>
      </c>
      <c r="F98">
        <v>24</v>
      </c>
      <c r="G98">
        <v>1</v>
      </c>
      <c r="H98" t="s">
        <v>39</v>
      </c>
      <c r="I98">
        <v>43</v>
      </c>
      <c r="J98">
        <v>0.5</v>
      </c>
      <c r="K98">
        <v>170</v>
      </c>
      <c r="L98">
        <v>58</v>
      </c>
      <c r="M98">
        <v>0</v>
      </c>
      <c r="N98">
        <v>1</v>
      </c>
      <c r="O98">
        <v>0</v>
      </c>
      <c r="P98">
        <v>1</v>
      </c>
      <c r="Q98">
        <v>1</v>
      </c>
      <c r="R98">
        <v>0</v>
      </c>
    </row>
    <row r="99" spans="1:18" ht="15.5" x14ac:dyDescent="0.35">
      <c r="A99" s="10">
        <v>466</v>
      </c>
      <c r="B99" s="6">
        <v>23127896</v>
      </c>
      <c r="C99">
        <v>98.5</v>
      </c>
      <c r="D99">
        <v>24</v>
      </c>
      <c r="G99">
        <v>0</v>
      </c>
      <c r="H99" t="s">
        <v>39</v>
      </c>
      <c r="I99">
        <v>43</v>
      </c>
      <c r="J99">
        <v>0.5</v>
      </c>
      <c r="K99">
        <v>170</v>
      </c>
      <c r="L99">
        <v>58</v>
      </c>
      <c r="M99">
        <v>0</v>
      </c>
      <c r="N99">
        <v>1</v>
      </c>
      <c r="O99">
        <v>0</v>
      </c>
      <c r="P99">
        <v>1</v>
      </c>
      <c r="Q99">
        <v>1</v>
      </c>
      <c r="R99">
        <v>0</v>
      </c>
    </row>
    <row r="100" spans="1:18" ht="15.5" x14ac:dyDescent="0.35">
      <c r="A100" s="10">
        <v>475</v>
      </c>
      <c r="B100" s="6">
        <v>23131516</v>
      </c>
      <c r="C100">
        <v>0</v>
      </c>
      <c r="E100">
        <v>1500</v>
      </c>
      <c r="F100">
        <v>1</v>
      </c>
      <c r="G100">
        <v>1</v>
      </c>
      <c r="H100" t="s">
        <v>39</v>
      </c>
      <c r="I100">
        <v>59</v>
      </c>
      <c r="J100">
        <v>0.5</v>
      </c>
      <c r="K100">
        <v>168</v>
      </c>
      <c r="L100">
        <v>75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1</v>
      </c>
    </row>
    <row r="101" spans="1:18" ht="15.5" x14ac:dyDescent="0.35">
      <c r="A101" s="10">
        <v>475</v>
      </c>
      <c r="B101" s="6">
        <v>23131516</v>
      </c>
      <c r="C101">
        <v>12</v>
      </c>
      <c r="E101">
        <v>750</v>
      </c>
      <c r="F101">
        <v>1</v>
      </c>
      <c r="G101">
        <v>1</v>
      </c>
      <c r="H101" t="s">
        <v>39</v>
      </c>
      <c r="I101">
        <v>59</v>
      </c>
      <c r="J101">
        <v>0.5</v>
      </c>
      <c r="K101">
        <v>168</v>
      </c>
      <c r="L101">
        <v>75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</row>
    <row r="102" spans="1:18" ht="15.5" x14ac:dyDescent="0.35">
      <c r="A102" s="10">
        <v>475</v>
      </c>
      <c r="B102" s="6">
        <v>23131516</v>
      </c>
      <c r="C102">
        <v>24</v>
      </c>
      <c r="E102">
        <v>750</v>
      </c>
      <c r="F102">
        <v>1</v>
      </c>
      <c r="G102">
        <v>1</v>
      </c>
      <c r="H102" t="s">
        <v>39</v>
      </c>
      <c r="I102">
        <v>59</v>
      </c>
      <c r="J102">
        <v>0.5</v>
      </c>
      <c r="K102">
        <v>168</v>
      </c>
      <c r="L102">
        <v>75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</row>
    <row r="103" spans="1:18" ht="15.5" x14ac:dyDescent="0.35">
      <c r="A103" s="10">
        <v>475</v>
      </c>
      <c r="B103" s="6">
        <v>23131516</v>
      </c>
      <c r="C103">
        <v>36</v>
      </c>
      <c r="E103">
        <v>750</v>
      </c>
      <c r="F103">
        <v>1</v>
      </c>
      <c r="G103">
        <v>1</v>
      </c>
      <c r="H103" t="s">
        <v>39</v>
      </c>
      <c r="I103">
        <v>59</v>
      </c>
      <c r="J103">
        <v>0.5</v>
      </c>
      <c r="K103">
        <v>168</v>
      </c>
      <c r="L103">
        <v>75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</row>
    <row r="104" spans="1:18" ht="15.5" x14ac:dyDescent="0.35">
      <c r="A104" s="10">
        <v>475</v>
      </c>
      <c r="B104" s="6">
        <v>23131516</v>
      </c>
      <c r="C104">
        <v>47.5</v>
      </c>
      <c r="D104">
        <v>8</v>
      </c>
      <c r="G104">
        <v>0</v>
      </c>
      <c r="H104" t="s">
        <v>39</v>
      </c>
      <c r="I104">
        <v>59</v>
      </c>
      <c r="J104">
        <v>0.5</v>
      </c>
      <c r="K104">
        <v>168</v>
      </c>
      <c r="L104">
        <v>75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</row>
    <row r="105" spans="1:18" ht="15.5" x14ac:dyDescent="0.35">
      <c r="A105" s="9">
        <v>483</v>
      </c>
      <c r="B105" s="6">
        <v>23116005</v>
      </c>
      <c r="C105">
        <v>0</v>
      </c>
      <c r="E105">
        <v>1500</v>
      </c>
      <c r="F105">
        <v>1</v>
      </c>
      <c r="G105">
        <v>1</v>
      </c>
      <c r="H105" t="s">
        <v>37</v>
      </c>
      <c r="I105">
        <v>58</v>
      </c>
      <c r="J105">
        <v>0.73</v>
      </c>
      <c r="K105">
        <v>173</v>
      </c>
      <c r="L105">
        <v>80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</row>
    <row r="106" spans="1:18" ht="15.5" x14ac:dyDescent="0.35">
      <c r="A106" s="9">
        <v>483</v>
      </c>
      <c r="B106" s="6">
        <v>23116005</v>
      </c>
      <c r="C106">
        <v>12</v>
      </c>
      <c r="E106">
        <v>1000</v>
      </c>
      <c r="F106">
        <v>1</v>
      </c>
      <c r="G106">
        <v>1</v>
      </c>
      <c r="H106" t="s">
        <v>37</v>
      </c>
      <c r="I106">
        <v>58</v>
      </c>
      <c r="J106">
        <v>0.73</v>
      </c>
      <c r="K106">
        <v>173</v>
      </c>
      <c r="L106">
        <v>80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ht="15.5" x14ac:dyDescent="0.35">
      <c r="A107" s="9">
        <v>483</v>
      </c>
      <c r="B107" s="6">
        <v>23116005</v>
      </c>
      <c r="C107">
        <v>24</v>
      </c>
      <c r="E107">
        <v>1000</v>
      </c>
      <c r="F107">
        <v>1</v>
      </c>
      <c r="G107">
        <v>1</v>
      </c>
      <c r="H107" t="s">
        <v>37</v>
      </c>
      <c r="I107">
        <v>58</v>
      </c>
      <c r="J107">
        <v>1.57</v>
      </c>
      <c r="K107">
        <v>173</v>
      </c>
      <c r="L107">
        <v>80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ht="15.5" x14ac:dyDescent="0.35">
      <c r="A108" s="9">
        <v>483</v>
      </c>
      <c r="B108" s="6">
        <v>23116005</v>
      </c>
      <c r="C108">
        <v>36</v>
      </c>
      <c r="E108">
        <v>1000</v>
      </c>
      <c r="F108">
        <v>1</v>
      </c>
      <c r="G108">
        <v>1</v>
      </c>
      <c r="H108" t="s">
        <v>37</v>
      </c>
      <c r="I108">
        <v>58</v>
      </c>
      <c r="J108">
        <v>1.35</v>
      </c>
      <c r="K108">
        <v>173</v>
      </c>
      <c r="L108">
        <v>80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ht="15.5" x14ac:dyDescent="0.35">
      <c r="A109" s="9">
        <v>483</v>
      </c>
      <c r="B109" s="6">
        <v>23116005</v>
      </c>
      <c r="C109">
        <v>47.5</v>
      </c>
      <c r="D109">
        <v>13</v>
      </c>
      <c r="G109">
        <v>0</v>
      </c>
      <c r="H109" t="s">
        <v>37</v>
      </c>
      <c r="I109">
        <v>58</v>
      </c>
      <c r="J109">
        <v>1.35</v>
      </c>
      <c r="K109">
        <v>173</v>
      </c>
      <c r="L109">
        <v>80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ht="15.5" x14ac:dyDescent="0.35">
      <c r="A110" s="9">
        <v>483</v>
      </c>
      <c r="B110" s="6">
        <v>23116005</v>
      </c>
      <c r="C110">
        <v>48</v>
      </c>
      <c r="E110">
        <v>1000</v>
      </c>
      <c r="F110">
        <v>1</v>
      </c>
      <c r="G110">
        <v>1</v>
      </c>
      <c r="H110" t="s">
        <v>37</v>
      </c>
      <c r="I110">
        <v>58</v>
      </c>
      <c r="J110">
        <v>1.35</v>
      </c>
      <c r="K110">
        <v>173</v>
      </c>
      <c r="L110">
        <v>80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ht="15.5" x14ac:dyDescent="0.35">
      <c r="A111" s="9">
        <v>483</v>
      </c>
      <c r="B111" s="6">
        <v>23116005</v>
      </c>
      <c r="C111">
        <v>60</v>
      </c>
      <c r="E111">
        <v>1000</v>
      </c>
      <c r="F111">
        <v>1</v>
      </c>
      <c r="G111">
        <v>1</v>
      </c>
      <c r="H111" t="s">
        <v>37</v>
      </c>
      <c r="I111">
        <v>58</v>
      </c>
      <c r="J111">
        <v>1.08</v>
      </c>
      <c r="K111">
        <v>173</v>
      </c>
      <c r="L111">
        <v>80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ht="15.5" x14ac:dyDescent="0.35">
      <c r="A112" s="9">
        <v>483</v>
      </c>
      <c r="B112" s="6">
        <v>23116005</v>
      </c>
      <c r="C112">
        <v>72</v>
      </c>
      <c r="E112">
        <v>1000</v>
      </c>
      <c r="F112">
        <v>1</v>
      </c>
      <c r="G112">
        <v>1</v>
      </c>
      <c r="H112" t="s">
        <v>37</v>
      </c>
      <c r="I112">
        <v>58</v>
      </c>
      <c r="J112">
        <v>1.08</v>
      </c>
      <c r="K112">
        <v>173</v>
      </c>
      <c r="L112">
        <v>80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ht="15.5" x14ac:dyDescent="0.35">
      <c r="A113" s="9">
        <v>483</v>
      </c>
      <c r="B113" s="6">
        <v>23116005</v>
      </c>
      <c r="C113">
        <v>84</v>
      </c>
      <c r="E113">
        <v>1000</v>
      </c>
      <c r="F113">
        <v>1</v>
      </c>
      <c r="G113">
        <v>1</v>
      </c>
      <c r="H113" t="s">
        <v>37</v>
      </c>
      <c r="I113">
        <v>58</v>
      </c>
      <c r="J113">
        <v>0.96</v>
      </c>
      <c r="K113">
        <v>173</v>
      </c>
      <c r="L113">
        <v>80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ht="15.5" x14ac:dyDescent="0.35">
      <c r="A114" s="9">
        <v>483</v>
      </c>
      <c r="B114" s="6">
        <v>23116005</v>
      </c>
      <c r="C114">
        <v>95.5</v>
      </c>
      <c r="D114">
        <v>16</v>
      </c>
      <c r="G114">
        <v>0</v>
      </c>
      <c r="H114" t="s">
        <v>37</v>
      </c>
      <c r="I114">
        <v>58</v>
      </c>
      <c r="J114">
        <v>0.96</v>
      </c>
      <c r="K114">
        <v>173</v>
      </c>
      <c r="L114">
        <v>80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ht="15.5" x14ac:dyDescent="0.35">
      <c r="A115" s="9">
        <v>483</v>
      </c>
      <c r="B115" s="6">
        <v>23116005</v>
      </c>
      <c r="C115">
        <v>96</v>
      </c>
      <c r="E115">
        <v>1000</v>
      </c>
      <c r="F115">
        <v>1</v>
      </c>
      <c r="G115">
        <v>1</v>
      </c>
      <c r="H115" t="s">
        <v>37</v>
      </c>
      <c r="I115">
        <v>58</v>
      </c>
      <c r="J115">
        <v>0.96</v>
      </c>
      <c r="K115">
        <v>173</v>
      </c>
      <c r="L115">
        <v>80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ht="15.5" x14ac:dyDescent="0.35">
      <c r="A116" s="9">
        <v>484</v>
      </c>
      <c r="B116" s="6">
        <v>23007687</v>
      </c>
      <c r="C116">
        <v>0</v>
      </c>
      <c r="E116">
        <v>1500</v>
      </c>
      <c r="F116">
        <v>2</v>
      </c>
      <c r="G116">
        <v>1</v>
      </c>
      <c r="H116" t="s">
        <v>39</v>
      </c>
      <c r="I116">
        <v>47</v>
      </c>
      <c r="J116">
        <v>1.0900000000000001</v>
      </c>
      <c r="K116">
        <v>165</v>
      </c>
      <c r="L116">
        <v>72</v>
      </c>
      <c r="M116">
        <v>0</v>
      </c>
      <c r="N116">
        <v>0</v>
      </c>
      <c r="O116">
        <v>0</v>
      </c>
      <c r="P116">
        <v>1</v>
      </c>
      <c r="Q116">
        <v>1</v>
      </c>
      <c r="R116">
        <v>1</v>
      </c>
    </row>
    <row r="117" spans="1:18" ht="15.5" x14ac:dyDescent="0.35">
      <c r="A117" s="9">
        <v>484</v>
      </c>
      <c r="B117" s="6">
        <v>23007687</v>
      </c>
      <c r="C117">
        <v>12</v>
      </c>
      <c r="E117">
        <v>1000</v>
      </c>
      <c r="F117">
        <v>1</v>
      </c>
      <c r="G117">
        <v>1</v>
      </c>
      <c r="H117" t="s">
        <v>39</v>
      </c>
      <c r="I117">
        <v>47</v>
      </c>
      <c r="J117">
        <v>1.0900000000000001</v>
      </c>
      <c r="K117">
        <v>165</v>
      </c>
      <c r="L117">
        <v>72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0</v>
      </c>
    </row>
    <row r="118" spans="1:18" ht="15.5" x14ac:dyDescent="0.35">
      <c r="A118" s="9">
        <v>484</v>
      </c>
      <c r="B118" s="6">
        <v>23007687</v>
      </c>
      <c r="C118">
        <v>24</v>
      </c>
      <c r="E118">
        <v>1000</v>
      </c>
      <c r="F118">
        <v>1</v>
      </c>
      <c r="G118">
        <v>1</v>
      </c>
      <c r="H118" t="s">
        <v>39</v>
      </c>
      <c r="I118">
        <v>47</v>
      </c>
      <c r="J118">
        <v>1.0900000000000001</v>
      </c>
      <c r="K118">
        <v>165</v>
      </c>
      <c r="L118">
        <v>72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0</v>
      </c>
    </row>
    <row r="119" spans="1:18" ht="15.5" x14ac:dyDescent="0.35">
      <c r="A119" s="9">
        <v>484</v>
      </c>
      <c r="B119" s="6">
        <v>23007687</v>
      </c>
      <c r="C119">
        <v>36</v>
      </c>
      <c r="E119">
        <v>1000</v>
      </c>
      <c r="F119">
        <v>1</v>
      </c>
      <c r="G119">
        <v>1</v>
      </c>
      <c r="H119" t="s">
        <v>39</v>
      </c>
      <c r="I119">
        <v>47</v>
      </c>
      <c r="J119">
        <v>1.0900000000000001</v>
      </c>
      <c r="K119">
        <v>165</v>
      </c>
      <c r="L119">
        <v>72</v>
      </c>
      <c r="M119">
        <v>0</v>
      </c>
      <c r="N119">
        <v>0</v>
      </c>
      <c r="O119">
        <v>0</v>
      </c>
      <c r="P119">
        <v>1</v>
      </c>
      <c r="Q119">
        <v>1</v>
      </c>
      <c r="R119">
        <v>0</v>
      </c>
    </row>
    <row r="120" spans="1:18" ht="15.5" x14ac:dyDescent="0.35">
      <c r="A120" s="9">
        <v>484</v>
      </c>
      <c r="B120" s="6">
        <v>23007687</v>
      </c>
      <c r="C120">
        <v>48</v>
      </c>
      <c r="E120">
        <v>1000</v>
      </c>
      <c r="F120">
        <v>1</v>
      </c>
      <c r="G120">
        <v>1</v>
      </c>
      <c r="H120" t="s">
        <v>39</v>
      </c>
      <c r="I120">
        <v>47</v>
      </c>
      <c r="J120">
        <v>1.04</v>
      </c>
      <c r="K120">
        <v>165</v>
      </c>
      <c r="L120">
        <v>72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0</v>
      </c>
    </row>
    <row r="121" spans="1:18" ht="15.5" x14ac:dyDescent="0.35">
      <c r="A121" s="9">
        <v>484</v>
      </c>
      <c r="B121" s="6">
        <v>23007687</v>
      </c>
      <c r="C121">
        <v>72</v>
      </c>
      <c r="E121">
        <v>1000</v>
      </c>
      <c r="F121">
        <v>1</v>
      </c>
      <c r="G121">
        <v>1</v>
      </c>
      <c r="H121" t="s">
        <v>39</v>
      </c>
      <c r="I121">
        <v>47</v>
      </c>
      <c r="J121">
        <v>1.04</v>
      </c>
      <c r="K121">
        <v>165</v>
      </c>
      <c r="L121">
        <v>72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0</v>
      </c>
    </row>
    <row r="122" spans="1:18" ht="15.5" x14ac:dyDescent="0.35">
      <c r="A122" s="9">
        <v>484</v>
      </c>
      <c r="B122" s="6">
        <v>23007687</v>
      </c>
      <c r="C122">
        <v>96</v>
      </c>
      <c r="E122">
        <v>1000</v>
      </c>
      <c r="F122">
        <v>1</v>
      </c>
      <c r="G122">
        <v>1</v>
      </c>
      <c r="H122" t="s">
        <v>39</v>
      </c>
      <c r="I122">
        <v>47</v>
      </c>
      <c r="J122">
        <v>1.04</v>
      </c>
      <c r="K122">
        <v>165</v>
      </c>
      <c r="L122">
        <v>72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0</v>
      </c>
    </row>
    <row r="123" spans="1:18" ht="15.5" x14ac:dyDescent="0.35">
      <c r="A123" s="9">
        <v>484</v>
      </c>
      <c r="B123" s="6">
        <v>23007687</v>
      </c>
      <c r="C123">
        <v>120</v>
      </c>
      <c r="E123">
        <v>1000</v>
      </c>
      <c r="F123">
        <v>1</v>
      </c>
      <c r="G123">
        <v>1</v>
      </c>
      <c r="H123" t="s">
        <v>39</v>
      </c>
      <c r="I123">
        <v>47</v>
      </c>
      <c r="J123">
        <v>1.04</v>
      </c>
      <c r="K123">
        <v>165</v>
      </c>
      <c r="L123">
        <v>72</v>
      </c>
      <c r="M123">
        <v>0</v>
      </c>
      <c r="N123">
        <v>0</v>
      </c>
      <c r="O123">
        <v>0</v>
      </c>
      <c r="P123">
        <v>1</v>
      </c>
      <c r="Q123">
        <v>1</v>
      </c>
      <c r="R123">
        <v>0</v>
      </c>
    </row>
    <row r="124" spans="1:18" ht="15.5" x14ac:dyDescent="0.35">
      <c r="A124" s="9">
        <v>484</v>
      </c>
      <c r="B124" s="6">
        <v>23007687</v>
      </c>
      <c r="C124">
        <v>144</v>
      </c>
      <c r="E124">
        <v>1000</v>
      </c>
      <c r="F124">
        <v>1</v>
      </c>
      <c r="G124">
        <v>1</v>
      </c>
      <c r="H124" t="s">
        <v>39</v>
      </c>
      <c r="I124">
        <v>47</v>
      </c>
      <c r="J124">
        <v>1.04</v>
      </c>
      <c r="K124">
        <v>165</v>
      </c>
      <c r="L124">
        <v>72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0</v>
      </c>
    </row>
    <row r="125" spans="1:18" ht="15.5" x14ac:dyDescent="0.35">
      <c r="A125" s="9">
        <v>484</v>
      </c>
      <c r="B125" s="6">
        <v>23007687</v>
      </c>
      <c r="C125">
        <v>167.5</v>
      </c>
      <c r="D125">
        <v>53</v>
      </c>
      <c r="G125">
        <v>0</v>
      </c>
      <c r="H125" t="s">
        <v>39</v>
      </c>
      <c r="I125">
        <v>47</v>
      </c>
      <c r="J125">
        <v>1.22</v>
      </c>
      <c r="K125">
        <v>165</v>
      </c>
      <c r="L125">
        <v>72</v>
      </c>
      <c r="M125">
        <v>0</v>
      </c>
      <c r="N125">
        <v>0</v>
      </c>
      <c r="O125">
        <v>0</v>
      </c>
      <c r="P125">
        <v>1</v>
      </c>
      <c r="Q125">
        <v>1</v>
      </c>
      <c r="R125">
        <v>0</v>
      </c>
    </row>
    <row r="126" spans="1:18" ht="15.5" x14ac:dyDescent="0.35">
      <c r="A126" s="9">
        <v>484</v>
      </c>
      <c r="B126" s="6">
        <v>23007687</v>
      </c>
      <c r="C126">
        <v>168</v>
      </c>
      <c r="E126">
        <v>1000</v>
      </c>
      <c r="F126">
        <v>1</v>
      </c>
      <c r="G126">
        <v>1</v>
      </c>
      <c r="H126" t="s">
        <v>39</v>
      </c>
      <c r="I126">
        <v>47</v>
      </c>
      <c r="J126">
        <v>1.22</v>
      </c>
      <c r="K126">
        <v>165</v>
      </c>
      <c r="L126">
        <v>72</v>
      </c>
      <c r="M126">
        <v>0</v>
      </c>
      <c r="N126">
        <v>0</v>
      </c>
      <c r="O126">
        <v>0</v>
      </c>
      <c r="P126">
        <v>1</v>
      </c>
      <c r="Q126">
        <v>1</v>
      </c>
      <c r="R126">
        <v>0</v>
      </c>
    </row>
    <row r="127" spans="1:18" ht="15.5" x14ac:dyDescent="0.35">
      <c r="A127" s="9">
        <v>516</v>
      </c>
      <c r="B127" s="11">
        <v>24100500</v>
      </c>
      <c r="C127">
        <v>0</v>
      </c>
      <c r="E127">
        <v>2000</v>
      </c>
      <c r="F127">
        <v>3</v>
      </c>
      <c r="G127">
        <v>1</v>
      </c>
      <c r="H127" t="s">
        <v>37</v>
      </c>
      <c r="I127">
        <v>56</v>
      </c>
      <c r="J127">
        <v>0.56000000000000005</v>
      </c>
      <c r="K127">
        <v>175</v>
      </c>
      <c r="L127">
        <v>83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1</v>
      </c>
    </row>
    <row r="128" spans="1:18" ht="15.5" x14ac:dyDescent="0.35">
      <c r="A128" s="9">
        <v>516</v>
      </c>
      <c r="B128" s="11">
        <v>24100500</v>
      </c>
      <c r="C128">
        <v>3</v>
      </c>
      <c r="E128">
        <v>2500</v>
      </c>
      <c r="F128">
        <v>24</v>
      </c>
      <c r="G128">
        <v>1</v>
      </c>
      <c r="H128" t="s">
        <v>37</v>
      </c>
      <c r="I128">
        <v>56</v>
      </c>
      <c r="J128">
        <v>0.56000000000000005</v>
      </c>
      <c r="K128">
        <v>175</v>
      </c>
      <c r="L128">
        <v>83</v>
      </c>
      <c r="M128">
        <v>0</v>
      </c>
      <c r="N128">
        <v>0</v>
      </c>
      <c r="O128">
        <v>0</v>
      </c>
      <c r="P128">
        <v>1</v>
      </c>
      <c r="Q128">
        <v>1</v>
      </c>
      <c r="R128">
        <v>0</v>
      </c>
    </row>
    <row r="129" spans="1:18" ht="15.5" x14ac:dyDescent="0.35">
      <c r="A129" s="9">
        <v>516</v>
      </c>
      <c r="B129" s="11">
        <v>24100500</v>
      </c>
      <c r="C129">
        <v>27</v>
      </c>
      <c r="E129">
        <v>2500</v>
      </c>
      <c r="F129">
        <v>24</v>
      </c>
      <c r="G129">
        <v>1</v>
      </c>
      <c r="H129" t="s">
        <v>37</v>
      </c>
      <c r="I129">
        <v>56</v>
      </c>
      <c r="J129">
        <v>0.56000000000000005</v>
      </c>
      <c r="K129">
        <v>175</v>
      </c>
      <c r="L129">
        <v>83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0</v>
      </c>
    </row>
    <row r="130" spans="1:18" ht="15.5" x14ac:dyDescent="0.35">
      <c r="A130" s="9">
        <v>516</v>
      </c>
      <c r="B130" s="11">
        <v>24100500</v>
      </c>
      <c r="C130">
        <v>50.5</v>
      </c>
      <c r="D130">
        <v>23</v>
      </c>
      <c r="G130">
        <v>0</v>
      </c>
      <c r="H130" t="s">
        <v>37</v>
      </c>
      <c r="I130">
        <v>56</v>
      </c>
      <c r="J130">
        <v>0.56000000000000005</v>
      </c>
      <c r="K130">
        <v>175</v>
      </c>
      <c r="L130">
        <v>83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0</v>
      </c>
    </row>
    <row r="131" spans="1:18" ht="15.5" x14ac:dyDescent="0.35">
      <c r="A131" s="9">
        <v>516</v>
      </c>
      <c r="B131" s="11">
        <v>24100500</v>
      </c>
      <c r="C131">
        <v>51</v>
      </c>
      <c r="E131">
        <v>2500</v>
      </c>
      <c r="F131">
        <v>24</v>
      </c>
      <c r="G131">
        <v>1</v>
      </c>
      <c r="H131" t="s">
        <v>37</v>
      </c>
      <c r="I131">
        <v>56</v>
      </c>
      <c r="J131">
        <v>0.56000000000000005</v>
      </c>
      <c r="K131">
        <v>175</v>
      </c>
      <c r="L131">
        <v>83</v>
      </c>
      <c r="M131">
        <v>0</v>
      </c>
      <c r="N131">
        <v>0</v>
      </c>
      <c r="O131">
        <v>0</v>
      </c>
      <c r="P131">
        <v>1</v>
      </c>
      <c r="Q131">
        <v>1</v>
      </c>
      <c r="R131">
        <v>0</v>
      </c>
    </row>
    <row r="132" spans="1:18" ht="15.5" x14ac:dyDescent="0.35">
      <c r="A132" s="9">
        <v>516</v>
      </c>
      <c r="B132" s="11">
        <v>24100500</v>
      </c>
      <c r="C132">
        <v>75</v>
      </c>
      <c r="E132">
        <v>2500</v>
      </c>
      <c r="F132">
        <v>24</v>
      </c>
      <c r="G132">
        <v>1</v>
      </c>
      <c r="H132" t="s">
        <v>37</v>
      </c>
      <c r="I132">
        <v>56</v>
      </c>
      <c r="J132">
        <v>0.56000000000000005</v>
      </c>
      <c r="K132">
        <v>175</v>
      </c>
      <c r="L132">
        <v>83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</v>
      </c>
    </row>
    <row r="133" spans="1:18" ht="15.5" x14ac:dyDescent="0.35">
      <c r="A133" s="9">
        <v>516</v>
      </c>
      <c r="B133" s="11">
        <v>24100500</v>
      </c>
      <c r="C133">
        <v>98.5</v>
      </c>
      <c r="D133">
        <v>19</v>
      </c>
      <c r="E133">
        <v>2500</v>
      </c>
      <c r="F133">
        <v>24</v>
      </c>
      <c r="G133">
        <v>0</v>
      </c>
      <c r="H133" t="s">
        <v>37</v>
      </c>
      <c r="I133">
        <v>56</v>
      </c>
      <c r="J133">
        <v>0.64</v>
      </c>
      <c r="K133">
        <v>175</v>
      </c>
      <c r="L133">
        <v>83</v>
      </c>
      <c r="M133">
        <v>0</v>
      </c>
      <c r="N133">
        <v>0</v>
      </c>
      <c r="O133">
        <v>0</v>
      </c>
      <c r="P133">
        <v>1</v>
      </c>
      <c r="Q133">
        <v>1</v>
      </c>
      <c r="R133">
        <v>0</v>
      </c>
    </row>
    <row r="134" spans="1:18" ht="15.5" x14ac:dyDescent="0.35">
      <c r="A134" s="12">
        <v>550</v>
      </c>
      <c r="B134" s="11">
        <v>23010575</v>
      </c>
      <c r="C134">
        <v>0</v>
      </c>
      <c r="E134">
        <v>1500</v>
      </c>
      <c r="F134">
        <v>2</v>
      </c>
      <c r="G134">
        <v>1</v>
      </c>
      <c r="H134" t="s">
        <v>37</v>
      </c>
      <c r="I134">
        <v>71</v>
      </c>
      <c r="J134">
        <v>0.57999999999999996</v>
      </c>
      <c r="K134">
        <v>170</v>
      </c>
      <c r="L134">
        <v>74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1</v>
      </c>
    </row>
    <row r="135" spans="1:18" ht="15.5" x14ac:dyDescent="0.35">
      <c r="A135" s="12">
        <v>550</v>
      </c>
      <c r="B135" s="11">
        <v>23010575</v>
      </c>
      <c r="C135">
        <v>2</v>
      </c>
      <c r="E135">
        <v>2000</v>
      </c>
      <c r="F135">
        <v>24</v>
      </c>
      <c r="G135">
        <v>1</v>
      </c>
      <c r="H135" t="s">
        <v>37</v>
      </c>
      <c r="I135">
        <v>71</v>
      </c>
      <c r="J135">
        <v>0.57999999999999996</v>
      </c>
      <c r="K135">
        <v>170</v>
      </c>
      <c r="L135">
        <v>74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0</v>
      </c>
    </row>
    <row r="136" spans="1:18" ht="15.5" x14ac:dyDescent="0.35">
      <c r="A136" s="12">
        <v>550</v>
      </c>
      <c r="B136" s="11">
        <v>23010575</v>
      </c>
      <c r="C136">
        <v>26</v>
      </c>
      <c r="E136">
        <v>2000</v>
      </c>
      <c r="F136">
        <v>24</v>
      </c>
      <c r="G136">
        <v>1</v>
      </c>
      <c r="H136" t="s">
        <v>37</v>
      </c>
      <c r="I136">
        <v>71</v>
      </c>
      <c r="J136">
        <v>0.57999999999999996</v>
      </c>
      <c r="K136">
        <v>170</v>
      </c>
      <c r="L136">
        <v>74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0</v>
      </c>
    </row>
    <row r="137" spans="1:18" ht="15.5" x14ac:dyDescent="0.35">
      <c r="A137" s="12">
        <v>550</v>
      </c>
      <c r="B137" s="11">
        <v>23010575</v>
      </c>
      <c r="C137">
        <v>49.5</v>
      </c>
      <c r="D137">
        <v>18</v>
      </c>
      <c r="G137">
        <v>0</v>
      </c>
      <c r="H137" t="s">
        <v>37</v>
      </c>
      <c r="I137">
        <v>71</v>
      </c>
      <c r="J137">
        <v>0.57999999999999996</v>
      </c>
      <c r="K137">
        <v>170</v>
      </c>
      <c r="L137">
        <v>74</v>
      </c>
      <c r="M137">
        <v>0</v>
      </c>
      <c r="N137">
        <v>0</v>
      </c>
      <c r="O137">
        <v>0</v>
      </c>
      <c r="P137">
        <v>1</v>
      </c>
      <c r="Q137">
        <v>1</v>
      </c>
      <c r="R137">
        <v>0</v>
      </c>
    </row>
    <row r="138" spans="1:18" ht="15.5" x14ac:dyDescent="0.35">
      <c r="A138" s="12">
        <v>550</v>
      </c>
      <c r="B138" s="11">
        <v>23010575</v>
      </c>
      <c r="C138">
        <v>50</v>
      </c>
      <c r="E138">
        <v>2000</v>
      </c>
      <c r="F138">
        <v>1</v>
      </c>
      <c r="G138">
        <v>1</v>
      </c>
      <c r="H138" t="s">
        <v>37</v>
      </c>
      <c r="I138">
        <v>71</v>
      </c>
      <c r="J138">
        <v>0.57999999999999996</v>
      </c>
      <c r="K138">
        <v>170</v>
      </c>
      <c r="L138">
        <v>74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0</v>
      </c>
    </row>
    <row r="139" spans="1:18" ht="15.5" x14ac:dyDescent="0.35">
      <c r="A139" s="12">
        <v>564</v>
      </c>
      <c r="B139" s="11">
        <v>23009586</v>
      </c>
      <c r="C139">
        <v>0</v>
      </c>
      <c r="E139">
        <v>1750</v>
      </c>
      <c r="F139">
        <v>2</v>
      </c>
      <c r="G139">
        <v>1</v>
      </c>
      <c r="H139" t="s">
        <v>37</v>
      </c>
      <c r="I139">
        <v>73</v>
      </c>
      <c r="J139">
        <v>1.4</v>
      </c>
      <c r="K139">
        <v>168</v>
      </c>
      <c r="L139">
        <v>74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1</v>
      </c>
    </row>
    <row r="140" spans="1:18" ht="15.5" x14ac:dyDescent="0.35">
      <c r="A140" s="12">
        <v>564</v>
      </c>
      <c r="B140" s="11">
        <v>23009586</v>
      </c>
      <c r="C140">
        <v>12</v>
      </c>
      <c r="E140">
        <v>500</v>
      </c>
      <c r="F140">
        <v>0.5</v>
      </c>
      <c r="G140">
        <v>1</v>
      </c>
      <c r="H140" t="s">
        <v>37</v>
      </c>
      <c r="I140">
        <v>73</v>
      </c>
      <c r="J140">
        <v>1.4</v>
      </c>
      <c r="K140">
        <v>168</v>
      </c>
      <c r="L140">
        <v>74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</row>
    <row r="141" spans="1:18" ht="15.5" x14ac:dyDescent="0.35">
      <c r="A141" s="12">
        <v>564</v>
      </c>
      <c r="B141" s="11">
        <v>23009586</v>
      </c>
      <c r="C141">
        <v>24</v>
      </c>
      <c r="E141">
        <v>500</v>
      </c>
      <c r="F141">
        <v>0.5</v>
      </c>
      <c r="G141">
        <v>1</v>
      </c>
      <c r="H141" t="s">
        <v>37</v>
      </c>
      <c r="I141">
        <v>73</v>
      </c>
      <c r="J141">
        <v>1.4</v>
      </c>
      <c r="K141">
        <v>168</v>
      </c>
      <c r="L141">
        <v>74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</row>
    <row r="142" spans="1:18" ht="15.5" x14ac:dyDescent="0.35">
      <c r="A142" s="12">
        <v>564</v>
      </c>
      <c r="B142" s="11">
        <v>23009586</v>
      </c>
      <c r="C142">
        <v>36</v>
      </c>
      <c r="E142">
        <v>500</v>
      </c>
      <c r="F142">
        <v>0.5</v>
      </c>
      <c r="G142">
        <v>1</v>
      </c>
      <c r="H142" t="s">
        <v>37</v>
      </c>
      <c r="I142">
        <v>73</v>
      </c>
      <c r="J142">
        <v>1.4</v>
      </c>
      <c r="K142">
        <v>168</v>
      </c>
      <c r="L142">
        <v>74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</row>
    <row r="143" spans="1:18" ht="15.5" x14ac:dyDescent="0.35">
      <c r="A143" s="12">
        <v>564</v>
      </c>
      <c r="B143" s="11">
        <v>23009586</v>
      </c>
      <c r="C143">
        <v>47.5</v>
      </c>
      <c r="D143">
        <v>15</v>
      </c>
      <c r="G143">
        <v>0</v>
      </c>
      <c r="H143" t="s">
        <v>37</v>
      </c>
      <c r="I143">
        <v>73</v>
      </c>
      <c r="J143">
        <v>1.4</v>
      </c>
      <c r="K143">
        <v>168</v>
      </c>
      <c r="L143">
        <v>74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</row>
    <row r="144" spans="1:18" ht="15.5" x14ac:dyDescent="0.35">
      <c r="A144" s="12">
        <v>564</v>
      </c>
      <c r="B144" s="11">
        <v>23009586</v>
      </c>
      <c r="C144">
        <v>48</v>
      </c>
      <c r="E144">
        <v>500</v>
      </c>
      <c r="F144">
        <v>0.5</v>
      </c>
      <c r="G144">
        <v>1</v>
      </c>
      <c r="H144" t="s">
        <v>37</v>
      </c>
      <c r="I144">
        <v>73</v>
      </c>
      <c r="J144">
        <v>1.4</v>
      </c>
      <c r="K144">
        <v>168</v>
      </c>
      <c r="L144">
        <v>74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</row>
    <row r="145" spans="1:18" ht="15.5" x14ac:dyDescent="0.35">
      <c r="A145" s="9">
        <v>569</v>
      </c>
      <c r="B145" s="6">
        <v>23008889</v>
      </c>
      <c r="C145">
        <v>0</v>
      </c>
      <c r="E145">
        <v>1000</v>
      </c>
      <c r="F145">
        <v>1</v>
      </c>
      <c r="G145">
        <v>1</v>
      </c>
      <c r="H145" t="s">
        <v>37</v>
      </c>
      <c r="I145">
        <v>71</v>
      </c>
      <c r="J145">
        <v>0.27</v>
      </c>
      <c r="K145">
        <v>169</v>
      </c>
      <c r="L145">
        <v>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</row>
    <row r="146" spans="1:18" ht="15.5" x14ac:dyDescent="0.35">
      <c r="A146" s="9">
        <v>569</v>
      </c>
      <c r="B146" s="6">
        <v>23008889</v>
      </c>
      <c r="C146">
        <v>12</v>
      </c>
      <c r="E146">
        <v>750</v>
      </c>
      <c r="F146">
        <v>1</v>
      </c>
      <c r="G146">
        <v>1</v>
      </c>
      <c r="H146" t="s">
        <v>37</v>
      </c>
      <c r="I146">
        <v>71</v>
      </c>
      <c r="J146">
        <v>0.27</v>
      </c>
      <c r="K146">
        <v>169</v>
      </c>
      <c r="L146">
        <v>39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ht="15.5" x14ac:dyDescent="0.35">
      <c r="A147" s="9">
        <v>569</v>
      </c>
      <c r="B147" s="6">
        <v>23008889</v>
      </c>
      <c r="C147">
        <v>24</v>
      </c>
      <c r="E147">
        <v>750</v>
      </c>
      <c r="F147">
        <v>1</v>
      </c>
      <c r="G147">
        <v>1</v>
      </c>
      <c r="H147" t="s">
        <v>37</v>
      </c>
      <c r="I147">
        <v>71</v>
      </c>
      <c r="J147">
        <v>0.27</v>
      </c>
      <c r="K147">
        <v>169</v>
      </c>
      <c r="L147">
        <v>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ht="15.5" x14ac:dyDescent="0.35">
      <c r="A148" s="9">
        <v>569</v>
      </c>
      <c r="B148" s="6">
        <v>23008889</v>
      </c>
      <c r="C148">
        <v>36</v>
      </c>
      <c r="E148">
        <v>750</v>
      </c>
      <c r="F148">
        <v>1</v>
      </c>
      <c r="G148">
        <v>1</v>
      </c>
      <c r="H148" t="s">
        <v>37</v>
      </c>
      <c r="I148">
        <v>71</v>
      </c>
      <c r="J148">
        <v>0.27</v>
      </c>
      <c r="K148">
        <v>169</v>
      </c>
      <c r="L148">
        <v>39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ht="15.5" x14ac:dyDescent="0.35">
      <c r="A149" s="9">
        <v>569</v>
      </c>
      <c r="B149" s="6">
        <v>23008889</v>
      </c>
      <c r="C149">
        <v>47.5</v>
      </c>
      <c r="D149">
        <v>12</v>
      </c>
      <c r="G149">
        <v>0</v>
      </c>
      <c r="H149" t="s">
        <v>37</v>
      </c>
      <c r="I149">
        <v>71</v>
      </c>
      <c r="J149">
        <v>0.27</v>
      </c>
      <c r="K149">
        <v>169</v>
      </c>
      <c r="L149">
        <v>39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ht="15.5" x14ac:dyDescent="0.35">
      <c r="A150" s="9">
        <v>569</v>
      </c>
      <c r="B150" s="6">
        <v>23008889</v>
      </c>
      <c r="C150">
        <v>48</v>
      </c>
      <c r="E150">
        <v>500</v>
      </c>
      <c r="F150">
        <v>0.5</v>
      </c>
      <c r="G150">
        <v>1</v>
      </c>
      <c r="H150" t="s">
        <v>37</v>
      </c>
      <c r="I150">
        <v>71</v>
      </c>
      <c r="J150">
        <v>0.27</v>
      </c>
      <c r="K150">
        <v>169</v>
      </c>
      <c r="L150">
        <v>39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ht="15.5" x14ac:dyDescent="0.35">
      <c r="A151" s="9">
        <v>569</v>
      </c>
      <c r="B151" s="6">
        <v>23008889</v>
      </c>
      <c r="C151">
        <v>60</v>
      </c>
      <c r="E151">
        <v>500</v>
      </c>
      <c r="F151">
        <v>0.5</v>
      </c>
      <c r="G151">
        <v>1</v>
      </c>
      <c r="H151" t="s">
        <v>37</v>
      </c>
      <c r="I151">
        <v>71</v>
      </c>
      <c r="J151">
        <v>0.27</v>
      </c>
      <c r="K151">
        <v>169</v>
      </c>
      <c r="L151">
        <v>39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ht="15.5" x14ac:dyDescent="0.35">
      <c r="A152" s="9">
        <v>569</v>
      </c>
      <c r="B152" s="6">
        <v>23008889</v>
      </c>
      <c r="C152">
        <v>72</v>
      </c>
      <c r="E152">
        <v>500</v>
      </c>
      <c r="F152">
        <v>0.5</v>
      </c>
      <c r="G152">
        <v>1</v>
      </c>
      <c r="H152" t="s">
        <v>37</v>
      </c>
      <c r="I152">
        <v>71</v>
      </c>
      <c r="J152">
        <v>0.3</v>
      </c>
      <c r="K152">
        <v>169</v>
      </c>
      <c r="L152">
        <v>39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ht="15.5" x14ac:dyDescent="0.35">
      <c r="A153" s="9">
        <v>569</v>
      </c>
      <c r="B153" s="6">
        <v>23008889</v>
      </c>
      <c r="C153">
        <v>84</v>
      </c>
      <c r="E153">
        <v>500</v>
      </c>
      <c r="F153">
        <v>0.5</v>
      </c>
      <c r="G153">
        <v>1</v>
      </c>
      <c r="H153" t="s">
        <v>37</v>
      </c>
      <c r="I153">
        <v>71</v>
      </c>
      <c r="J153">
        <v>0.3</v>
      </c>
      <c r="K153">
        <v>169</v>
      </c>
      <c r="L153">
        <v>39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ht="15.5" x14ac:dyDescent="0.35">
      <c r="A154" s="9">
        <v>569</v>
      </c>
      <c r="B154" s="6">
        <v>23008889</v>
      </c>
      <c r="C154">
        <v>95.5</v>
      </c>
      <c r="D154">
        <v>12</v>
      </c>
      <c r="G154">
        <v>0</v>
      </c>
      <c r="H154" t="s">
        <v>37</v>
      </c>
      <c r="I154">
        <v>71</v>
      </c>
      <c r="J154">
        <v>0.3</v>
      </c>
      <c r="K154">
        <v>169</v>
      </c>
      <c r="L154">
        <v>39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ht="15.5" x14ac:dyDescent="0.35">
      <c r="A155" s="9">
        <v>569</v>
      </c>
      <c r="B155" s="6">
        <v>23008889</v>
      </c>
      <c r="C155">
        <v>96</v>
      </c>
      <c r="E155">
        <v>500</v>
      </c>
      <c r="F155">
        <v>0.5</v>
      </c>
      <c r="G155">
        <v>1</v>
      </c>
      <c r="H155" t="s">
        <v>37</v>
      </c>
      <c r="I155">
        <v>71</v>
      </c>
      <c r="J155">
        <v>0.3</v>
      </c>
      <c r="K155">
        <v>169</v>
      </c>
      <c r="L155">
        <v>39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ht="15.5" customHeight="1" x14ac:dyDescent="0.35">
      <c r="A156" s="9">
        <v>574</v>
      </c>
      <c r="B156" s="6">
        <v>23008595</v>
      </c>
      <c r="C156">
        <v>0</v>
      </c>
      <c r="E156">
        <v>1500</v>
      </c>
      <c r="F156">
        <v>3</v>
      </c>
      <c r="G156">
        <v>1</v>
      </c>
      <c r="H156" t="s">
        <v>39</v>
      </c>
      <c r="I156">
        <v>58</v>
      </c>
      <c r="J156">
        <v>0.14000000000000001</v>
      </c>
      <c r="K156">
        <v>167</v>
      </c>
      <c r="L156">
        <v>42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</row>
    <row r="157" spans="1:18" ht="15.5" x14ac:dyDescent="0.35">
      <c r="A157" s="9">
        <v>574</v>
      </c>
      <c r="B157" s="6">
        <v>23008595</v>
      </c>
      <c r="C157">
        <v>3</v>
      </c>
      <c r="E157">
        <v>2000</v>
      </c>
      <c r="F157">
        <v>24</v>
      </c>
      <c r="G157">
        <v>1</v>
      </c>
      <c r="H157" t="s">
        <v>39</v>
      </c>
      <c r="I157">
        <v>58</v>
      </c>
      <c r="J157">
        <v>0.14000000000000001</v>
      </c>
      <c r="K157">
        <v>167</v>
      </c>
      <c r="L157">
        <v>42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ht="15.5" x14ac:dyDescent="0.35">
      <c r="A158" s="9">
        <v>574</v>
      </c>
      <c r="B158" s="6">
        <v>23008595</v>
      </c>
      <c r="C158">
        <v>27</v>
      </c>
      <c r="E158">
        <v>2000</v>
      </c>
      <c r="F158">
        <v>24</v>
      </c>
      <c r="G158">
        <v>1</v>
      </c>
      <c r="H158" t="s">
        <v>39</v>
      </c>
      <c r="I158">
        <v>58</v>
      </c>
      <c r="J158">
        <v>0.14000000000000001</v>
      </c>
      <c r="K158">
        <v>167</v>
      </c>
      <c r="L158">
        <v>42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ht="15.5" x14ac:dyDescent="0.35">
      <c r="A159" s="9">
        <v>574</v>
      </c>
      <c r="B159" s="6">
        <v>23008595</v>
      </c>
      <c r="C159">
        <v>50.5</v>
      </c>
      <c r="D159">
        <v>16</v>
      </c>
      <c r="G159">
        <v>0</v>
      </c>
      <c r="H159" t="s">
        <v>39</v>
      </c>
      <c r="I159">
        <v>58</v>
      </c>
      <c r="J159">
        <v>8.9999999999999993E-3</v>
      </c>
      <c r="K159">
        <v>167</v>
      </c>
      <c r="L159">
        <v>42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ht="15.5" x14ac:dyDescent="0.35">
      <c r="A160" s="9">
        <v>574</v>
      </c>
      <c r="B160" s="6">
        <v>23008595</v>
      </c>
      <c r="C160">
        <v>51</v>
      </c>
      <c r="E160">
        <v>2000</v>
      </c>
      <c r="F160">
        <v>24</v>
      </c>
      <c r="G160">
        <v>1</v>
      </c>
      <c r="H160" t="s">
        <v>39</v>
      </c>
      <c r="I160">
        <v>58</v>
      </c>
      <c r="J160">
        <v>8.9999999999999993E-3</v>
      </c>
      <c r="K160">
        <v>167</v>
      </c>
      <c r="L160">
        <v>42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ht="15.5" x14ac:dyDescent="0.35">
      <c r="A161" s="9">
        <v>574</v>
      </c>
      <c r="B161" s="6">
        <v>23008595</v>
      </c>
      <c r="C161">
        <v>75</v>
      </c>
      <c r="E161">
        <v>2000</v>
      </c>
      <c r="F161">
        <v>24</v>
      </c>
      <c r="G161">
        <v>1</v>
      </c>
      <c r="H161" t="s">
        <v>39</v>
      </c>
      <c r="I161">
        <v>58</v>
      </c>
      <c r="J161">
        <v>8.9999999999999993E-3</v>
      </c>
      <c r="K161">
        <v>167</v>
      </c>
      <c r="L161">
        <v>42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ht="15.5" x14ac:dyDescent="0.35">
      <c r="A162" s="9">
        <v>574</v>
      </c>
      <c r="B162" s="6">
        <v>23008595</v>
      </c>
      <c r="C162">
        <v>98.5</v>
      </c>
      <c r="D162">
        <v>17</v>
      </c>
      <c r="G162">
        <v>0</v>
      </c>
      <c r="H162" t="s">
        <v>39</v>
      </c>
      <c r="I162">
        <v>58</v>
      </c>
      <c r="J162">
        <v>8.9999999999999993E-3</v>
      </c>
      <c r="K162">
        <v>167</v>
      </c>
      <c r="L162">
        <v>42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ht="15.5" x14ac:dyDescent="0.35">
      <c r="A163" s="9">
        <v>574</v>
      </c>
      <c r="B163" s="6">
        <v>23008595</v>
      </c>
      <c r="C163">
        <v>99</v>
      </c>
      <c r="E163">
        <v>2000</v>
      </c>
      <c r="F163">
        <v>24</v>
      </c>
      <c r="G163">
        <v>1</v>
      </c>
      <c r="H163" t="s">
        <v>39</v>
      </c>
      <c r="I163">
        <v>58</v>
      </c>
      <c r="J163">
        <v>8.9999999999999993E-3</v>
      </c>
      <c r="K163">
        <v>167</v>
      </c>
      <c r="L163">
        <v>42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ht="15.5" x14ac:dyDescent="0.35">
      <c r="A164" s="9">
        <v>615</v>
      </c>
      <c r="B164" s="6">
        <v>23123955</v>
      </c>
      <c r="C164">
        <v>0</v>
      </c>
      <c r="E164">
        <v>1500</v>
      </c>
      <c r="F164">
        <v>2</v>
      </c>
      <c r="G164">
        <v>1</v>
      </c>
      <c r="H164" t="s">
        <v>39</v>
      </c>
      <c r="I164">
        <v>74</v>
      </c>
      <c r="J164">
        <v>0.31</v>
      </c>
      <c r="K164">
        <v>160</v>
      </c>
      <c r="L164">
        <v>61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1</v>
      </c>
    </row>
    <row r="165" spans="1:18" ht="15.5" x14ac:dyDescent="0.35">
      <c r="A165" s="9">
        <v>615</v>
      </c>
      <c r="B165" s="6">
        <v>23123955</v>
      </c>
      <c r="C165">
        <v>2</v>
      </c>
      <c r="E165">
        <v>2000</v>
      </c>
      <c r="F165">
        <v>24</v>
      </c>
      <c r="G165">
        <v>1</v>
      </c>
      <c r="H165" t="s">
        <v>39</v>
      </c>
      <c r="I165">
        <v>74</v>
      </c>
      <c r="J165">
        <v>0.31</v>
      </c>
      <c r="K165">
        <v>160</v>
      </c>
      <c r="L165">
        <v>61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</row>
    <row r="166" spans="1:18" ht="15.5" x14ac:dyDescent="0.35">
      <c r="A166" s="9">
        <v>615</v>
      </c>
      <c r="B166" s="6">
        <v>23123955</v>
      </c>
      <c r="C166">
        <v>26</v>
      </c>
      <c r="E166">
        <v>2000</v>
      </c>
      <c r="F166">
        <v>24</v>
      </c>
      <c r="G166">
        <v>1</v>
      </c>
      <c r="H166" t="s">
        <v>39</v>
      </c>
      <c r="I166">
        <v>74</v>
      </c>
      <c r="J166">
        <v>0.31</v>
      </c>
      <c r="K166">
        <v>160</v>
      </c>
      <c r="L166">
        <v>61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</row>
    <row r="167" spans="1:18" ht="15.5" x14ac:dyDescent="0.35">
      <c r="A167" s="9">
        <v>615</v>
      </c>
      <c r="B167" s="6">
        <v>23123955</v>
      </c>
      <c r="C167">
        <v>49.5</v>
      </c>
      <c r="D167">
        <v>18</v>
      </c>
      <c r="G167">
        <v>0</v>
      </c>
      <c r="H167" t="s">
        <v>39</v>
      </c>
      <c r="I167">
        <v>74</v>
      </c>
      <c r="J167">
        <v>0.31</v>
      </c>
      <c r="K167">
        <v>160</v>
      </c>
      <c r="L167">
        <v>61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</row>
    <row r="168" spans="1:18" ht="15.5" x14ac:dyDescent="0.35">
      <c r="A168" s="9">
        <v>615</v>
      </c>
      <c r="B168" s="6">
        <v>23123955</v>
      </c>
      <c r="C168">
        <v>50</v>
      </c>
      <c r="E168">
        <v>2000</v>
      </c>
      <c r="F168">
        <v>24</v>
      </c>
      <c r="G168">
        <v>1</v>
      </c>
      <c r="H168" t="s">
        <v>39</v>
      </c>
      <c r="I168">
        <v>74</v>
      </c>
      <c r="J168">
        <v>0.31</v>
      </c>
      <c r="K168">
        <v>160</v>
      </c>
      <c r="L168">
        <v>61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</row>
    <row r="169" spans="1:18" ht="15.5" x14ac:dyDescent="0.35">
      <c r="A169" s="9">
        <v>615</v>
      </c>
      <c r="B169" s="6">
        <v>23123955</v>
      </c>
      <c r="C169">
        <v>74</v>
      </c>
      <c r="E169">
        <v>2000</v>
      </c>
      <c r="F169">
        <v>24</v>
      </c>
      <c r="G169">
        <v>1</v>
      </c>
      <c r="H169" t="s">
        <v>39</v>
      </c>
      <c r="I169">
        <v>74</v>
      </c>
      <c r="J169">
        <v>0.28999999999999998</v>
      </c>
      <c r="K169">
        <v>160</v>
      </c>
      <c r="L169">
        <v>61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</row>
    <row r="170" spans="1:18" ht="15.5" x14ac:dyDescent="0.35">
      <c r="A170" s="9">
        <v>615</v>
      </c>
      <c r="B170" s="6">
        <v>23123955</v>
      </c>
      <c r="C170">
        <v>97.5</v>
      </c>
      <c r="D170">
        <v>19</v>
      </c>
      <c r="G170">
        <v>0</v>
      </c>
      <c r="H170" t="s">
        <v>39</v>
      </c>
      <c r="I170">
        <v>74</v>
      </c>
      <c r="J170">
        <v>0.28999999999999998</v>
      </c>
      <c r="K170">
        <v>160</v>
      </c>
      <c r="L170">
        <v>61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</row>
    <row r="171" spans="1:18" ht="15.5" x14ac:dyDescent="0.35">
      <c r="A171" s="9">
        <v>615</v>
      </c>
      <c r="B171" s="6">
        <v>23123955</v>
      </c>
      <c r="C171">
        <v>98</v>
      </c>
      <c r="E171">
        <v>2000</v>
      </c>
      <c r="F171">
        <v>24</v>
      </c>
      <c r="G171">
        <v>1</v>
      </c>
      <c r="H171" t="s">
        <v>39</v>
      </c>
      <c r="I171">
        <v>74</v>
      </c>
      <c r="J171">
        <v>0.28999999999999998</v>
      </c>
      <c r="K171">
        <v>160</v>
      </c>
      <c r="L171">
        <v>61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</row>
    <row r="172" spans="1:18" ht="15.5" x14ac:dyDescent="0.35">
      <c r="A172" s="9">
        <v>617</v>
      </c>
      <c r="B172" s="6">
        <v>23124490</v>
      </c>
      <c r="C172">
        <v>0</v>
      </c>
      <c r="E172">
        <v>2500</v>
      </c>
      <c r="F172">
        <v>3</v>
      </c>
      <c r="G172">
        <v>1</v>
      </c>
      <c r="H172" t="s">
        <v>37</v>
      </c>
      <c r="I172">
        <v>63</v>
      </c>
      <c r="J172">
        <v>1.25</v>
      </c>
      <c r="K172">
        <v>187</v>
      </c>
      <c r="L172">
        <v>118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</row>
    <row r="173" spans="1:18" ht="15.5" x14ac:dyDescent="0.35">
      <c r="A173" s="9">
        <v>617</v>
      </c>
      <c r="B173" s="6">
        <v>23124490</v>
      </c>
      <c r="C173">
        <v>8</v>
      </c>
      <c r="E173">
        <v>1500</v>
      </c>
      <c r="F173">
        <v>2</v>
      </c>
      <c r="G173">
        <v>1</v>
      </c>
      <c r="H173" t="s">
        <v>37</v>
      </c>
      <c r="I173">
        <v>63</v>
      </c>
      <c r="J173">
        <v>1.25</v>
      </c>
      <c r="K173">
        <v>187</v>
      </c>
      <c r="L173">
        <v>118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ht="15.5" x14ac:dyDescent="0.35">
      <c r="A174" s="9">
        <v>617</v>
      </c>
      <c r="B174" s="6">
        <v>23124490</v>
      </c>
      <c r="C174">
        <v>16</v>
      </c>
      <c r="E174">
        <v>1500</v>
      </c>
      <c r="F174">
        <v>2</v>
      </c>
      <c r="G174">
        <v>1</v>
      </c>
      <c r="H174" t="s">
        <v>37</v>
      </c>
      <c r="I174">
        <v>63</v>
      </c>
      <c r="J174">
        <v>1.25</v>
      </c>
      <c r="K174">
        <v>187</v>
      </c>
      <c r="L174">
        <v>118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ht="15.5" x14ac:dyDescent="0.35">
      <c r="A175" s="9">
        <v>617</v>
      </c>
      <c r="B175" s="6">
        <v>23124490</v>
      </c>
      <c r="C175">
        <v>24</v>
      </c>
      <c r="E175">
        <v>1500</v>
      </c>
      <c r="F175">
        <v>2</v>
      </c>
      <c r="G175">
        <v>1</v>
      </c>
      <c r="H175" t="s">
        <v>37</v>
      </c>
      <c r="I175">
        <v>63</v>
      </c>
      <c r="J175">
        <v>1.65</v>
      </c>
      <c r="K175">
        <v>187</v>
      </c>
      <c r="L175">
        <v>118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ht="15.5" x14ac:dyDescent="0.35">
      <c r="A176" s="9">
        <v>617</v>
      </c>
      <c r="B176" s="6">
        <v>23124490</v>
      </c>
      <c r="C176">
        <v>30</v>
      </c>
      <c r="E176">
        <v>1500</v>
      </c>
      <c r="F176">
        <v>2</v>
      </c>
      <c r="G176">
        <v>1</v>
      </c>
      <c r="H176" t="s">
        <v>37</v>
      </c>
      <c r="I176">
        <v>63</v>
      </c>
      <c r="J176">
        <v>1.65</v>
      </c>
      <c r="K176">
        <v>187</v>
      </c>
      <c r="L176">
        <v>118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ht="15.5" x14ac:dyDescent="0.35">
      <c r="A177" s="9">
        <v>617</v>
      </c>
      <c r="B177" s="6">
        <v>23124490</v>
      </c>
      <c r="C177">
        <v>38</v>
      </c>
      <c r="E177">
        <v>1500</v>
      </c>
      <c r="F177">
        <v>2</v>
      </c>
      <c r="G177">
        <v>1</v>
      </c>
      <c r="H177" t="s">
        <v>37</v>
      </c>
      <c r="I177">
        <v>63</v>
      </c>
      <c r="J177">
        <v>1.65</v>
      </c>
      <c r="K177">
        <v>187</v>
      </c>
      <c r="L177">
        <v>118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ht="15.5" x14ac:dyDescent="0.35">
      <c r="A178" s="9">
        <v>617</v>
      </c>
      <c r="B178" s="6">
        <v>23124490</v>
      </c>
      <c r="C178">
        <v>40</v>
      </c>
      <c r="E178">
        <v>1500</v>
      </c>
      <c r="F178">
        <v>2</v>
      </c>
      <c r="G178">
        <v>1</v>
      </c>
      <c r="H178" t="s">
        <v>37</v>
      </c>
      <c r="I178">
        <v>63</v>
      </c>
      <c r="J178">
        <v>1.65</v>
      </c>
      <c r="K178">
        <v>187</v>
      </c>
      <c r="L178">
        <v>118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ht="15.5" x14ac:dyDescent="0.35">
      <c r="A179" s="9">
        <v>617</v>
      </c>
      <c r="B179" s="6">
        <v>23124490</v>
      </c>
      <c r="C179">
        <v>47.5</v>
      </c>
      <c r="D179">
        <v>33</v>
      </c>
      <c r="G179">
        <v>0</v>
      </c>
      <c r="H179" t="s">
        <v>37</v>
      </c>
      <c r="I179">
        <v>63</v>
      </c>
      <c r="J179">
        <v>1.65</v>
      </c>
      <c r="K179">
        <v>187</v>
      </c>
      <c r="L179">
        <v>118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ht="15.5" x14ac:dyDescent="0.35">
      <c r="A180" s="9">
        <v>617</v>
      </c>
      <c r="B180" s="6">
        <v>23124490</v>
      </c>
      <c r="C180">
        <v>48</v>
      </c>
      <c r="E180">
        <v>1500</v>
      </c>
      <c r="F180">
        <v>2</v>
      </c>
      <c r="G180">
        <v>1</v>
      </c>
      <c r="H180" t="s">
        <v>37</v>
      </c>
      <c r="I180">
        <v>63</v>
      </c>
      <c r="J180">
        <v>1.65</v>
      </c>
      <c r="K180">
        <v>187</v>
      </c>
      <c r="L180">
        <v>118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ht="15.5" x14ac:dyDescent="0.35">
      <c r="A181" s="9">
        <v>620</v>
      </c>
      <c r="B181" s="6">
        <v>23009635</v>
      </c>
      <c r="C181">
        <v>0</v>
      </c>
      <c r="E181">
        <v>1000</v>
      </c>
      <c r="F181">
        <v>1</v>
      </c>
      <c r="G181">
        <v>1</v>
      </c>
      <c r="H181" t="s">
        <v>37</v>
      </c>
      <c r="I181">
        <v>72</v>
      </c>
      <c r="J181">
        <v>0.78</v>
      </c>
      <c r="K181">
        <v>162</v>
      </c>
      <c r="L181">
        <v>48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</row>
    <row r="182" spans="1:18" ht="15.5" x14ac:dyDescent="0.35">
      <c r="A182" s="9">
        <v>620</v>
      </c>
      <c r="B182" s="6">
        <v>23009635</v>
      </c>
      <c r="C182">
        <v>12</v>
      </c>
      <c r="E182">
        <v>750</v>
      </c>
      <c r="F182">
        <v>1</v>
      </c>
      <c r="G182">
        <v>1</v>
      </c>
      <c r="H182" t="s">
        <v>37</v>
      </c>
      <c r="I182">
        <v>72</v>
      </c>
      <c r="J182">
        <v>0.7</v>
      </c>
      <c r="K182">
        <v>162</v>
      </c>
      <c r="L182">
        <v>48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ht="15.5" x14ac:dyDescent="0.35">
      <c r="A183" s="9">
        <v>620</v>
      </c>
      <c r="B183" s="6">
        <v>23009635</v>
      </c>
      <c r="C183">
        <v>24</v>
      </c>
      <c r="E183">
        <v>750</v>
      </c>
      <c r="F183">
        <v>1</v>
      </c>
      <c r="G183">
        <v>1</v>
      </c>
      <c r="H183" t="s">
        <v>37</v>
      </c>
      <c r="I183">
        <v>72</v>
      </c>
      <c r="J183">
        <v>0.7</v>
      </c>
      <c r="K183">
        <v>162</v>
      </c>
      <c r="L183">
        <v>48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 ht="15.5" x14ac:dyDescent="0.35">
      <c r="A184" s="9">
        <v>620</v>
      </c>
      <c r="B184" s="6">
        <v>23009635</v>
      </c>
      <c r="C184">
        <v>36</v>
      </c>
      <c r="E184">
        <v>750</v>
      </c>
      <c r="F184">
        <v>1</v>
      </c>
      <c r="G184">
        <v>1</v>
      </c>
      <c r="H184" t="s">
        <v>37</v>
      </c>
      <c r="I184">
        <v>72</v>
      </c>
      <c r="J184">
        <v>0.7</v>
      </c>
      <c r="K184">
        <v>162</v>
      </c>
      <c r="L184">
        <v>48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ht="15.5" x14ac:dyDescent="0.35">
      <c r="A185" s="9">
        <v>620</v>
      </c>
      <c r="B185" s="6">
        <v>23009635</v>
      </c>
      <c r="C185">
        <v>47.5</v>
      </c>
      <c r="D185">
        <v>28</v>
      </c>
      <c r="G185">
        <v>0</v>
      </c>
      <c r="H185" t="s">
        <v>37</v>
      </c>
      <c r="I185">
        <v>72</v>
      </c>
      <c r="J185">
        <v>0.7</v>
      </c>
      <c r="K185">
        <v>162</v>
      </c>
      <c r="L185">
        <v>48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ht="15.5" x14ac:dyDescent="0.35">
      <c r="A186" s="9">
        <v>620</v>
      </c>
      <c r="B186" s="6">
        <v>23009635</v>
      </c>
      <c r="C186">
        <v>48</v>
      </c>
      <c r="E186">
        <v>750</v>
      </c>
      <c r="F186">
        <v>1</v>
      </c>
      <c r="G186">
        <v>1</v>
      </c>
      <c r="H186" t="s">
        <v>37</v>
      </c>
      <c r="I186">
        <v>72</v>
      </c>
      <c r="J186">
        <v>0.7</v>
      </c>
      <c r="K186">
        <v>162</v>
      </c>
      <c r="L186">
        <v>48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ht="15.5" x14ac:dyDescent="0.35">
      <c r="A187" s="9">
        <v>620</v>
      </c>
      <c r="B187" s="6">
        <v>23009635</v>
      </c>
      <c r="C187">
        <v>72</v>
      </c>
      <c r="E187">
        <v>750</v>
      </c>
      <c r="F187">
        <v>1</v>
      </c>
      <c r="G187">
        <v>1</v>
      </c>
      <c r="H187" t="s">
        <v>37</v>
      </c>
      <c r="I187">
        <v>72</v>
      </c>
      <c r="J187">
        <v>0.7</v>
      </c>
      <c r="K187">
        <v>162</v>
      </c>
      <c r="L187">
        <v>48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ht="15.5" x14ac:dyDescent="0.35">
      <c r="A188" s="9">
        <v>620</v>
      </c>
      <c r="B188" s="6">
        <v>23009635</v>
      </c>
      <c r="C188">
        <v>95.5</v>
      </c>
      <c r="D188">
        <v>20</v>
      </c>
      <c r="G188">
        <v>0</v>
      </c>
      <c r="H188" t="s">
        <v>37</v>
      </c>
      <c r="I188">
        <v>72</v>
      </c>
      <c r="J188">
        <v>0.75</v>
      </c>
      <c r="K188">
        <v>162</v>
      </c>
      <c r="L188">
        <v>48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ht="15.5" x14ac:dyDescent="0.35">
      <c r="A189" s="9">
        <v>620</v>
      </c>
      <c r="B189" s="6">
        <v>23009635</v>
      </c>
      <c r="C189">
        <v>96</v>
      </c>
      <c r="E189">
        <v>750</v>
      </c>
      <c r="F189">
        <v>1</v>
      </c>
      <c r="G189">
        <v>1</v>
      </c>
      <c r="H189" t="s">
        <v>37</v>
      </c>
      <c r="I189">
        <v>72</v>
      </c>
      <c r="J189">
        <v>0.75</v>
      </c>
      <c r="K189">
        <v>162</v>
      </c>
      <c r="L189">
        <v>48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ht="15.5" x14ac:dyDescent="0.35">
      <c r="A190" s="9">
        <v>620</v>
      </c>
      <c r="B190" s="6">
        <v>23009635</v>
      </c>
      <c r="C190">
        <f>C189+12</f>
        <v>108</v>
      </c>
      <c r="E190">
        <v>750</v>
      </c>
      <c r="F190">
        <v>1</v>
      </c>
      <c r="G190">
        <v>1</v>
      </c>
      <c r="H190" t="s">
        <v>37</v>
      </c>
      <c r="I190">
        <v>72</v>
      </c>
      <c r="J190">
        <v>0.75</v>
      </c>
      <c r="K190">
        <v>162</v>
      </c>
      <c r="L190">
        <v>48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ht="15.5" x14ac:dyDescent="0.35">
      <c r="A191" s="9">
        <v>620</v>
      </c>
      <c r="B191" s="6">
        <v>23009635</v>
      </c>
      <c r="C191">
        <f>C190+12</f>
        <v>120</v>
      </c>
      <c r="E191">
        <v>750</v>
      </c>
      <c r="F191">
        <v>1</v>
      </c>
      <c r="G191">
        <v>1</v>
      </c>
      <c r="H191" t="s">
        <v>37</v>
      </c>
      <c r="I191">
        <v>72</v>
      </c>
      <c r="J191">
        <v>0.75</v>
      </c>
      <c r="K191">
        <v>162</v>
      </c>
      <c r="L191">
        <v>48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ht="15.5" x14ac:dyDescent="0.35">
      <c r="A192" s="9">
        <v>620</v>
      </c>
      <c r="B192" s="6">
        <v>23009635</v>
      </c>
      <c r="C192">
        <f>C191+12</f>
        <v>132</v>
      </c>
      <c r="E192">
        <v>750</v>
      </c>
      <c r="F192">
        <v>1</v>
      </c>
      <c r="G192">
        <v>1</v>
      </c>
      <c r="H192" t="s">
        <v>37</v>
      </c>
      <c r="I192">
        <v>72</v>
      </c>
      <c r="J192">
        <v>0.75</v>
      </c>
      <c r="K192">
        <v>162</v>
      </c>
      <c r="L192">
        <v>48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20" ht="15.5" x14ac:dyDescent="0.35">
      <c r="A193" s="9">
        <v>620</v>
      </c>
      <c r="B193" s="6">
        <v>23009635</v>
      </c>
      <c r="C193">
        <v>143.5</v>
      </c>
      <c r="D193">
        <v>21</v>
      </c>
      <c r="G193">
        <v>0</v>
      </c>
      <c r="H193" t="s">
        <v>37</v>
      </c>
      <c r="I193">
        <v>72</v>
      </c>
      <c r="J193">
        <v>0.75</v>
      </c>
      <c r="K193">
        <v>162</v>
      </c>
      <c r="L193">
        <v>48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20" ht="15.5" x14ac:dyDescent="0.35">
      <c r="A194" s="9">
        <v>620</v>
      </c>
      <c r="B194" s="6">
        <v>23009635</v>
      </c>
      <c r="C194">
        <v>144</v>
      </c>
      <c r="E194">
        <v>750</v>
      </c>
      <c r="F194">
        <v>1</v>
      </c>
      <c r="G194">
        <v>1</v>
      </c>
      <c r="H194" t="s">
        <v>37</v>
      </c>
      <c r="I194">
        <v>72</v>
      </c>
      <c r="J194">
        <v>0.75</v>
      </c>
      <c r="K194">
        <v>162</v>
      </c>
      <c r="L194">
        <v>48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20" ht="15.5" x14ac:dyDescent="0.35">
      <c r="A195" s="9">
        <v>621</v>
      </c>
      <c r="B195" s="6">
        <v>23009896</v>
      </c>
      <c r="C195">
        <v>0</v>
      </c>
      <c r="E195">
        <v>1500</v>
      </c>
      <c r="F195">
        <v>2</v>
      </c>
      <c r="G195">
        <v>1</v>
      </c>
      <c r="H195" t="s">
        <v>37</v>
      </c>
      <c r="I195">
        <v>62</v>
      </c>
      <c r="J195">
        <v>0.84</v>
      </c>
      <c r="K195">
        <v>170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T195" s="13"/>
    </row>
    <row r="196" spans="1:20" ht="15.5" x14ac:dyDescent="0.35">
      <c r="A196" s="9">
        <v>621</v>
      </c>
      <c r="B196" s="6">
        <v>23009896</v>
      </c>
      <c r="C196">
        <v>12</v>
      </c>
      <c r="E196">
        <v>1125</v>
      </c>
      <c r="F196">
        <v>1</v>
      </c>
      <c r="G196">
        <v>1</v>
      </c>
      <c r="H196" t="s">
        <v>37</v>
      </c>
      <c r="I196">
        <v>62</v>
      </c>
      <c r="J196">
        <v>0.84</v>
      </c>
      <c r="K196">
        <v>170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T196" s="13"/>
    </row>
    <row r="197" spans="1:20" ht="15.5" x14ac:dyDescent="0.35">
      <c r="A197" s="9">
        <v>621</v>
      </c>
      <c r="B197" s="6">
        <v>23009896</v>
      </c>
      <c r="C197">
        <v>24</v>
      </c>
      <c r="E197">
        <v>1125</v>
      </c>
      <c r="F197">
        <v>1</v>
      </c>
      <c r="G197">
        <v>1</v>
      </c>
      <c r="H197" t="s">
        <v>37</v>
      </c>
      <c r="I197">
        <v>62</v>
      </c>
      <c r="J197">
        <v>0.84</v>
      </c>
      <c r="K197">
        <v>170</v>
      </c>
      <c r="L197">
        <v>75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T197" s="13"/>
    </row>
    <row r="198" spans="1:20" ht="15.5" x14ac:dyDescent="0.35">
      <c r="A198" s="9">
        <v>621</v>
      </c>
      <c r="B198" s="6">
        <v>23009896</v>
      </c>
      <c r="C198">
        <v>36</v>
      </c>
      <c r="E198">
        <v>1125</v>
      </c>
      <c r="F198">
        <v>1</v>
      </c>
      <c r="G198">
        <v>1</v>
      </c>
      <c r="H198" t="s">
        <v>37</v>
      </c>
      <c r="I198">
        <v>62</v>
      </c>
      <c r="J198">
        <v>0.84</v>
      </c>
      <c r="K198">
        <v>170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20" ht="15.5" x14ac:dyDescent="0.35">
      <c r="A199" s="9">
        <v>621</v>
      </c>
      <c r="B199" s="6">
        <v>23009896</v>
      </c>
      <c r="C199">
        <v>47.5</v>
      </c>
      <c r="D199">
        <v>5</v>
      </c>
      <c r="G199">
        <v>0</v>
      </c>
      <c r="H199" t="s">
        <v>37</v>
      </c>
      <c r="I199">
        <v>62</v>
      </c>
      <c r="J199">
        <v>0.84</v>
      </c>
      <c r="K199">
        <v>170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20" ht="15.5" x14ac:dyDescent="0.35">
      <c r="A200" s="9">
        <v>621</v>
      </c>
      <c r="B200" s="6">
        <v>23009896</v>
      </c>
      <c r="C200">
        <v>48</v>
      </c>
      <c r="E200">
        <v>1000</v>
      </c>
      <c r="F200">
        <v>1</v>
      </c>
      <c r="G200">
        <v>1</v>
      </c>
      <c r="H200" t="s">
        <v>37</v>
      </c>
      <c r="I200">
        <v>62</v>
      </c>
      <c r="J200">
        <v>0.84</v>
      </c>
      <c r="K200">
        <v>170</v>
      </c>
      <c r="L200">
        <v>75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20" ht="15.5" x14ac:dyDescent="0.35">
      <c r="A201" s="9">
        <v>621</v>
      </c>
      <c r="B201" s="6">
        <v>23009896</v>
      </c>
      <c r="C201">
        <f>C200 + 8</f>
        <v>56</v>
      </c>
      <c r="E201">
        <v>1000</v>
      </c>
      <c r="F201">
        <v>1</v>
      </c>
      <c r="G201">
        <v>1</v>
      </c>
      <c r="H201" t="s">
        <v>37</v>
      </c>
      <c r="I201">
        <v>62</v>
      </c>
      <c r="J201">
        <v>0.84</v>
      </c>
      <c r="K201">
        <v>170</v>
      </c>
      <c r="L201">
        <v>75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20" ht="15.5" x14ac:dyDescent="0.35">
      <c r="A202" s="9">
        <v>621</v>
      </c>
      <c r="B202" s="6">
        <v>23009896</v>
      </c>
      <c r="C202">
        <f>C201 + 8</f>
        <v>64</v>
      </c>
      <c r="E202">
        <v>1000</v>
      </c>
      <c r="F202">
        <v>1</v>
      </c>
      <c r="G202">
        <v>1</v>
      </c>
      <c r="H202" t="s">
        <v>37</v>
      </c>
      <c r="I202">
        <v>62</v>
      </c>
      <c r="J202">
        <v>1.23</v>
      </c>
      <c r="K202">
        <v>170</v>
      </c>
      <c r="L202">
        <v>75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20" ht="15.5" x14ac:dyDescent="0.35">
      <c r="A203" s="9">
        <v>621</v>
      </c>
      <c r="B203" s="6">
        <v>23009896</v>
      </c>
      <c r="C203">
        <f>C202 + 8</f>
        <v>72</v>
      </c>
      <c r="E203">
        <v>1000</v>
      </c>
      <c r="F203">
        <v>1</v>
      </c>
      <c r="G203">
        <v>1</v>
      </c>
      <c r="H203" t="s">
        <v>37</v>
      </c>
      <c r="I203">
        <v>62</v>
      </c>
      <c r="J203">
        <v>1.23</v>
      </c>
      <c r="K203">
        <v>170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20" ht="15.5" x14ac:dyDescent="0.35">
      <c r="A204" s="9">
        <v>621</v>
      </c>
      <c r="B204" s="6">
        <v>23009896</v>
      </c>
      <c r="C204">
        <f>C203 + 8</f>
        <v>80</v>
      </c>
      <c r="E204">
        <v>1000</v>
      </c>
      <c r="F204">
        <v>1</v>
      </c>
      <c r="G204">
        <v>1</v>
      </c>
      <c r="H204" t="s">
        <v>37</v>
      </c>
      <c r="I204">
        <v>62</v>
      </c>
      <c r="J204">
        <v>1.23</v>
      </c>
      <c r="K204">
        <v>170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20" ht="15.5" x14ac:dyDescent="0.35">
      <c r="A205" s="9">
        <v>621</v>
      </c>
      <c r="B205" s="6">
        <v>23009896</v>
      </c>
      <c r="C205">
        <v>87.5</v>
      </c>
      <c r="D205">
        <v>11</v>
      </c>
      <c r="G205">
        <v>0</v>
      </c>
      <c r="H205" t="s">
        <v>37</v>
      </c>
      <c r="I205">
        <v>62</v>
      </c>
      <c r="J205">
        <v>1.23</v>
      </c>
      <c r="K205">
        <v>170</v>
      </c>
      <c r="L205">
        <v>75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20" ht="15.5" x14ac:dyDescent="0.35">
      <c r="A206" s="9">
        <v>621</v>
      </c>
      <c r="B206" s="6">
        <v>23009896</v>
      </c>
      <c r="C206">
        <v>88</v>
      </c>
      <c r="E206">
        <v>1000</v>
      </c>
      <c r="F206">
        <v>1</v>
      </c>
      <c r="G206">
        <v>1</v>
      </c>
      <c r="H206" t="s">
        <v>37</v>
      </c>
      <c r="I206">
        <v>62</v>
      </c>
      <c r="J206">
        <v>1.06</v>
      </c>
      <c r="K206">
        <v>170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20" ht="15.5" x14ac:dyDescent="0.35">
      <c r="A207" s="9">
        <v>621</v>
      </c>
      <c r="B207" s="6">
        <v>23009896</v>
      </c>
      <c r="C207">
        <f xml:space="preserve"> C206 + 8</f>
        <v>96</v>
      </c>
      <c r="E207">
        <v>1000</v>
      </c>
      <c r="F207">
        <v>1</v>
      </c>
      <c r="G207">
        <v>1</v>
      </c>
      <c r="H207" t="s">
        <v>37</v>
      </c>
      <c r="I207">
        <v>62</v>
      </c>
      <c r="J207">
        <v>1.06</v>
      </c>
      <c r="K207">
        <v>170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20" ht="15.5" x14ac:dyDescent="0.35">
      <c r="A208" s="9">
        <v>621</v>
      </c>
      <c r="B208" s="6">
        <v>23009896</v>
      </c>
      <c r="C208">
        <f xml:space="preserve"> C207 + 8</f>
        <v>104</v>
      </c>
      <c r="E208">
        <v>1000</v>
      </c>
      <c r="F208">
        <v>1</v>
      </c>
      <c r="G208">
        <v>1</v>
      </c>
      <c r="H208" t="s">
        <v>37</v>
      </c>
      <c r="I208">
        <v>62</v>
      </c>
      <c r="J208">
        <v>1.06</v>
      </c>
      <c r="K208">
        <v>170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ht="15.5" x14ac:dyDescent="0.35">
      <c r="A209" s="9">
        <v>621</v>
      </c>
      <c r="B209" s="6">
        <v>23009896</v>
      </c>
      <c r="C209">
        <f xml:space="preserve"> C208 + 8</f>
        <v>112</v>
      </c>
      <c r="E209">
        <v>1000</v>
      </c>
      <c r="F209">
        <v>1</v>
      </c>
      <c r="G209">
        <v>1</v>
      </c>
      <c r="H209" t="s">
        <v>37</v>
      </c>
      <c r="I209">
        <v>62</v>
      </c>
      <c r="J209">
        <v>1.06</v>
      </c>
      <c r="K209">
        <v>170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ht="15.5" x14ac:dyDescent="0.35">
      <c r="A210" s="9">
        <v>621</v>
      </c>
      <c r="B210" s="6">
        <v>23009896</v>
      </c>
      <c r="C210">
        <f xml:space="preserve"> C209 + 8</f>
        <v>120</v>
      </c>
      <c r="E210">
        <v>1000</v>
      </c>
      <c r="F210">
        <v>1</v>
      </c>
      <c r="G210">
        <v>1</v>
      </c>
      <c r="H210" t="s">
        <v>37</v>
      </c>
      <c r="I210">
        <v>62</v>
      </c>
      <c r="J210">
        <v>1.06</v>
      </c>
      <c r="K210">
        <v>170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5.5" x14ac:dyDescent="0.35">
      <c r="A211" s="9">
        <v>621</v>
      </c>
      <c r="B211" s="6">
        <v>23009896</v>
      </c>
      <c r="C211">
        <v>127.5</v>
      </c>
      <c r="D211">
        <v>17</v>
      </c>
      <c r="G211">
        <v>0</v>
      </c>
      <c r="H211" t="s">
        <v>37</v>
      </c>
      <c r="I211">
        <v>62</v>
      </c>
      <c r="J211">
        <v>1.06</v>
      </c>
      <c r="K211">
        <v>170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ht="15.5" x14ac:dyDescent="0.35">
      <c r="A212" s="9">
        <v>621</v>
      </c>
      <c r="B212" s="6">
        <v>23009896</v>
      </c>
      <c r="C212">
        <v>128</v>
      </c>
      <c r="E212">
        <v>1000</v>
      </c>
      <c r="F212">
        <v>1</v>
      </c>
      <c r="G212">
        <v>1</v>
      </c>
      <c r="H212" t="s">
        <v>37</v>
      </c>
      <c r="I212">
        <v>62</v>
      </c>
      <c r="J212">
        <v>1.06</v>
      </c>
      <c r="K212">
        <v>170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ht="15.5" x14ac:dyDescent="0.35">
      <c r="A213" s="9">
        <v>628</v>
      </c>
      <c r="B213" s="6">
        <v>23128770</v>
      </c>
      <c r="C213">
        <v>0</v>
      </c>
      <c r="E213">
        <v>2000</v>
      </c>
      <c r="F213">
        <v>3</v>
      </c>
      <c r="G213">
        <v>1</v>
      </c>
      <c r="H213" t="s">
        <v>39</v>
      </c>
      <c r="I213">
        <v>71</v>
      </c>
      <c r="J213">
        <v>0.65</v>
      </c>
      <c r="K213">
        <v>170</v>
      </c>
      <c r="L213">
        <v>74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</row>
    <row r="214" spans="1:18" ht="15.5" x14ac:dyDescent="0.35">
      <c r="A214" s="9">
        <v>628</v>
      </c>
      <c r="B214" s="6">
        <v>23128770</v>
      </c>
      <c r="C214">
        <v>3</v>
      </c>
      <c r="E214">
        <v>1500</v>
      </c>
      <c r="F214">
        <v>24</v>
      </c>
      <c r="G214">
        <v>1</v>
      </c>
      <c r="H214" t="s">
        <v>39</v>
      </c>
      <c r="I214">
        <v>71</v>
      </c>
      <c r="J214">
        <v>0.65</v>
      </c>
      <c r="K214">
        <v>170</v>
      </c>
      <c r="L214">
        <v>74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ht="15.5" x14ac:dyDescent="0.35">
      <c r="A215" s="9">
        <v>628</v>
      </c>
      <c r="B215" s="6">
        <v>23128770</v>
      </c>
      <c r="C215">
        <v>27</v>
      </c>
      <c r="E215">
        <v>1500</v>
      </c>
      <c r="F215">
        <v>24</v>
      </c>
      <c r="G215">
        <v>1</v>
      </c>
      <c r="H215" t="s">
        <v>39</v>
      </c>
      <c r="I215">
        <v>71</v>
      </c>
      <c r="J215">
        <v>0.65</v>
      </c>
      <c r="K215">
        <v>170</v>
      </c>
      <c r="L215">
        <v>74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ht="15.5" x14ac:dyDescent="0.35">
      <c r="A216" s="9">
        <v>628</v>
      </c>
      <c r="B216" s="6">
        <v>23128770</v>
      </c>
      <c r="C216">
        <v>47.5</v>
      </c>
      <c r="D216">
        <v>26</v>
      </c>
      <c r="G216">
        <v>0</v>
      </c>
      <c r="H216" t="s">
        <v>39</v>
      </c>
      <c r="I216">
        <v>71</v>
      </c>
      <c r="J216">
        <v>0.65</v>
      </c>
      <c r="K216">
        <v>170</v>
      </c>
      <c r="L216">
        <v>74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ht="15.5" x14ac:dyDescent="0.35">
      <c r="A217" s="9">
        <v>628</v>
      </c>
      <c r="B217" s="6">
        <v>23128770</v>
      </c>
      <c r="C217">
        <v>51</v>
      </c>
      <c r="E217">
        <v>1500</v>
      </c>
      <c r="F217">
        <v>24</v>
      </c>
      <c r="G217">
        <v>1</v>
      </c>
      <c r="H217" t="s">
        <v>39</v>
      </c>
      <c r="I217">
        <v>71</v>
      </c>
      <c r="J217">
        <v>0.65</v>
      </c>
      <c r="K217">
        <v>170</v>
      </c>
      <c r="L217">
        <v>74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ht="15.5" x14ac:dyDescent="0.35">
      <c r="A218" s="9">
        <v>628</v>
      </c>
      <c r="B218" s="6">
        <v>23128770</v>
      </c>
      <c r="C218">
        <v>75</v>
      </c>
      <c r="E218">
        <v>1500</v>
      </c>
      <c r="F218">
        <v>24</v>
      </c>
      <c r="G218">
        <v>1</v>
      </c>
      <c r="H218" t="s">
        <v>39</v>
      </c>
      <c r="I218">
        <v>71</v>
      </c>
      <c r="J218">
        <v>0.65</v>
      </c>
      <c r="K218">
        <v>170</v>
      </c>
      <c r="L218">
        <v>74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ht="15.5" x14ac:dyDescent="0.35">
      <c r="A219" s="9">
        <v>628</v>
      </c>
      <c r="B219" s="6">
        <v>23128770</v>
      </c>
      <c r="C219">
        <v>95.5</v>
      </c>
      <c r="D219">
        <v>25</v>
      </c>
      <c r="G219">
        <v>0</v>
      </c>
      <c r="H219" t="s">
        <v>39</v>
      </c>
      <c r="I219">
        <v>71</v>
      </c>
      <c r="J219">
        <v>0.65</v>
      </c>
      <c r="K219">
        <v>170</v>
      </c>
      <c r="L219">
        <v>74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ht="15.5" x14ac:dyDescent="0.35">
      <c r="A220" s="9">
        <v>634</v>
      </c>
      <c r="B220" s="6">
        <v>23123035</v>
      </c>
      <c r="C220">
        <v>0</v>
      </c>
      <c r="E220">
        <v>1250</v>
      </c>
      <c r="F220">
        <v>2</v>
      </c>
      <c r="G220">
        <v>1</v>
      </c>
      <c r="H220" t="s">
        <v>39</v>
      </c>
      <c r="I220">
        <v>67</v>
      </c>
      <c r="J220">
        <v>0.45</v>
      </c>
      <c r="K220">
        <v>155</v>
      </c>
      <c r="L220">
        <v>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</row>
    <row r="221" spans="1:18" ht="15.5" x14ac:dyDescent="0.35">
      <c r="A221" s="9">
        <v>634</v>
      </c>
      <c r="B221" s="6">
        <v>23123035</v>
      </c>
      <c r="C221">
        <v>6</v>
      </c>
      <c r="E221">
        <v>500</v>
      </c>
      <c r="F221">
        <v>1</v>
      </c>
      <c r="G221">
        <v>1</v>
      </c>
      <c r="H221" t="s">
        <v>39</v>
      </c>
      <c r="I221">
        <v>67</v>
      </c>
      <c r="J221">
        <v>0.45</v>
      </c>
      <c r="K221">
        <v>155</v>
      </c>
      <c r="L221">
        <v>54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ht="15.5" x14ac:dyDescent="0.35">
      <c r="A222" s="9">
        <v>634</v>
      </c>
      <c r="B222" s="6">
        <v>23123035</v>
      </c>
      <c r="C222">
        <v>12</v>
      </c>
      <c r="E222">
        <v>500</v>
      </c>
      <c r="F222">
        <v>1</v>
      </c>
      <c r="G222">
        <v>1</v>
      </c>
      <c r="H222" t="s">
        <v>39</v>
      </c>
      <c r="I222">
        <v>67</v>
      </c>
      <c r="J222">
        <v>0.45</v>
      </c>
      <c r="K222">
        <v>155</v>
      </c>
      <c r="L222">
        <v>54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ht="15.5" x14ac:dyDescent="0.35">
      <c r="A223" s="9">
        <v>634</v>
      </c>
      <c r="B223" s="6">
        <v>23123035</v>
      </c>
      <c r="C223">
        <v>18</v>
      </c>
      <c r="E223">
        <v>500</v>
      </c>
      <c r="F223">
        <v>1</v>
      </c>
      <c r="G223">
        <v>1</v>
      </c>
      <c r="H223" t="s">
        <v>39</v>
      </c>
      <c r="I223">
        <v>67</v>
      </c>
      <c r="J223">
        <v>0.45</v>
      </c>
      <c r="K223">
        <v>155</v>
      </c>
      <c r="L223">
        <v>54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ht="15.5" x14ac:dyDescent="0.35">
      <c r="A224" s="9">
        <v>634</v>
      </c>
      <c r="B224" s="6">
        <v>23123035</v>
      </c>
      <c r="C224">
        <v>24</v>
      </c>
      <c r="E224">
        <v>500</v>
      </c>
      <c r="F224">
        <v>1</v>
      </c>
      <c r="G224">
        <v>1</v>
      </c>
      <c r="H224" t="s">
        <v>39</v>
      </c>
      <c r="I224">
        <v>67</v>
      </c>
      <c r="J224">
        <v>0.45</v>
      </c>
      <c r="K224">
        <v>155</v>
      </c>
      <c r="L224">
        <v>54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ht="15.5" x14ac:dyDescent="0.35">
      <c r="A225" s="9">
        <v>634</v>
      </c>
      <c r="B225" s="6">
        <v>23123035</v>
      </c>
      <c r="C225">
        <v>30</v>
      </c>
      <c r="E225">
        <v>500</v>
      </c>
      <c r="F225">
        <v>1</v>
      </c>
      <c r="G225">
        <v>1</v>
      </c>
      <c r="H225" t="s">
        <v>39</v>
      </c>
      <c r="I225">
        <v>67</v>
      </c>
      <c r="J225">
        <v>0.45</v>
      </c>
      <c r="K225">
        <v>155</v>
      </c>
      <c r="L225">
        <v>54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ht="15.5" x14ac:dyDescent="0.35">
      <c r="A226" s="9">
        <v>634</v>
      </c>
      <c r="B226" s="6">
        <v>23123035</v>
      </c>
      <c r="C226">
        <v>36</v>
      </c>
      <c r="E226">
        <v>500</v>
      </c>
      <c r="F226">
        <v>1</v>
      </c>
      <c r="G226">
        <v>1</v>
      </c>
      <c r="H226" t="s">
        <v>39</v>
      </c>
      <c r="I226">
        <v>67</v>
      </c>
      <c r="J226">
        <v>0.45</v>
      </c>
      <c r="K226">
        <v>155</v>
      </c>
      <c r="L226">
        <v>54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ht="15.5" x14ac:dyDescent="0.35">
      <c r="A227" s="9">
        <v>634</v>
      </c>
      <c r="B227" s="6">
        <v>23123035</v>
      </c>
      <c r="C227">
        <v>42</v>
      </c>
      <c r="E227">
        <v>500</v>
      </c>
      <c r="F227">
        <v>1</v>
      </c>
      <c r="G227">
        <v>1</v>
      </c>
      <c r="H227" t="s">
        <v>39</v>
      </c>
      <c r="I227">
        <v>67</v>
      </c>
      <c r="J227">
        <v>0.45</v>
      </c>
      <c r="K227">
        <v>155</v>
      </c>
      <c r="L227">
        <v>54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ht="15.5" x14ac:dyDescent="0.35">
      <c r="A228" s="9">
        <v>634</v>
      </c>
      <c r="B228" s="6">
        <v>23123035</v>
      </c>
      <c r="C228">
        <v>47.5</v>
      </c>
      <c r="D228">
        <v>17</v>
      </c>
      <c r="G228">
        <v>0</v>
      </c>
      <c r="H228" t="s">
        <v>39</v>
      </c>
      <c r="I228">
        <v>67</v>
      </c>
      <c r="J228">
        <v>0.45</v>
      </c>
      <c r="K228">
        <v>155</v>
      </c>
      <c r="L228">
        <v>54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ht="15.5" x14ac:dyDescent="0.35">
      <c r="A229" s="9">
        <v>634</v>
      </c>
      <c r="B229" s="6">
        <v>23123035</v>
      </c>
      <c r="C229">
        <v>48</v>
      </c>
      <c r="E229">
        <v>500</v>
      </c>
      <c r="F229">
        <v>1</v>
      </c>
      <c r="G229">
        <v>1</v>
      </c>
      <c r="H229" t="s">
        <v>39</v>
      </c>
      <c r="I229">
        <v>67</v>
      </c>
      <c r="J229">
        <v>0.45</v>
      </c>
      <c r="K229">
        <v>155</v>
      </c>
      <c r="L229">
        <v>54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ht="15.5" x14ac:dyDescent="0.35">
      <c r="A230" s="9">
        <v>638</v>
      </c>
      <c r="B230" s="6">
        <v>23010156</v>
      </c>
      <c r="C230">
        <v>0</v>
      </c>
      <c r="E230">
        <v>1500</v>
      </c>
      <c r="F230">
        <v>3</v>
      </c>
      <c r="G230">
        <v>1</v>
      </c>
      <c r="H230" t="s">
        <v>37</v>
      </c>
      <c r="I230">
        <v>38</v>
      </c>
      <c r="J230">
        <v>0.52</v>
      </c>
      <c r="K230">
        <v>173</v>
      </c>
      <c r="L230">
        <v>76</v>
      </c>
      <c r="M230">
        <v>0</v>
      </c>
      <c r="N230">
        <v>1</v>
      </c>
      <c r="O230">
        <v>0</v>
      </c>
      <c r="P230">
        <v>1</v>
      </c>
      <c r="Q230">
        <v>1</v>
      </c>
      <c r="R230">
        <v>1</v>
      </c>
    </row>
    <row r="231" spans="1:18" ht="15.5" x14ac:dyDescent="0.35">
      <c r="A231" s="9">
        <v>638</v>
      </c>
      <c r="B231" s="6">
        <v>23010156</v>
      </c>
      <c r="C231">
        <v>3</v>
      </c>
      <c r="E231">
        <v>2000</v>
      </c>
      <c r="F231">
        <v>24</v>
      </c>
      <c r="G231">
        <v>1</v>
      </c>
      <c r="H231" t="s">
        <v>37</v>
      </c>
      <c r="I231">
        <v>38</v>
      </c>
      <c r="J231">
        <v>0.52</v>
      </c>
      <c r="K231">
        <v>173</v>
      </c>
      <c r="L231">
        <v>76</v>
      </c>
      <c r="M231">
        <v>0</v>
      </c>
      <c r="N231">
        <v>1</v>
      </c>
      <c r="O231">
        <v>0</v>
      </c>
      <c r="P231">
        <v>1</v>
      </c>
      <c r="Q231">
        <v>1</v>
      </c>
      <c r="R231">
        <v>0</v>
      </c>
    </row>
    <row r="232" spans="1:18" ht="15.5" x14ac:dyDescent="0.35">
      <c r="A232" s="9">
        <v>638</v>
      </c>
      <c r="B232" s="6">
        <v>23010156</v>
      </c>
      <c r="C232">
        <v>24.5</v>
      </c>
      <c r="D232">
        <v>14</v>
      </c>
      <c r="G232">
        <v>0</v>
      </c>
      <c r="H232" t="s">
        <v>37</v>
      </c>
      <c r="I232">
        <v>38</v>
      </c>
      <c r="J232">
        <v>0.52</v>
      </c>
      <c r="K232">
        <v>173</v>
      </c>
      <c r="L232">
        <v>76</v>
      </c>
      <c r="M232">
        <v>0</v>
      </c>
      <c r="N232">
        <v>1</v>
      </c>
      <c r="O232">
        <v>0</v>
      </c>
      <c r="P232">
        <v>1</v>
      </c>
      <c r="Q232">
        <v>1</v>
      </c>
      <c r="R232">
        <v>0</v>
      </c>
    </row>
    <row r="233" spans="1:18" ht="15.5" x14ac:dyDescent="0.35">
      <c r="A233" s="9">
        <v>638</v>
      </c>
      <c r="B233" s="6">
        <v>23010156</v>
      </c>
      <c r="C233">
        <v>27</v>
      </c>
      <c r="E233">
        <v>2000</v>
      </c>
      <c r="F233">
        <v>24</v>
      </c>
      <c r="G233">
        <v>1</v>
      </c>
      <c r="H233" t="s">
        <v>37</v>
      </c>
      <c r="I233">
        <v>38</v>
      </c>
      <c r="J233">
        <v>0.52</v>
      </c>
      <c r="K233">
        <v>173</v>
      </c>
      <c r="L233">
        <v>76</v>
      </c>
      <c r="M233">
        <v>0</v>
      </c>
      <c r="N233">
        <v>1</v>
      </c>
      <c r="O233">
        <v>0</v>
      </c>
      <c r="P233">
        <v>1</v>
      </c>
      <c r="Q233">
        <v>1</v>
      </c>
      <c r="R233">
        <v>0</v>
      </c>
    </row>
    <row r="234" spans="1:18" ht="15.5" x14ac:dyDescent="0.35">
      <c r="A234" s="9">
        <v>638</v>
      </c>
      <c r="B234" s="6">
        <v>23010156</v>
      </c>
      <c r="C234">
        <v>50.5</v>
      </c>
      <c r="D234">
        <v>19</v>
      </c>
      <c r="E234">
        <v>2000</v>
      </c>
      <c r="F234">
        <v>24</v>
      </c>
      <c r="G234">
        <v>1</v>
      </c>
      <c r="H234" t="s">
        <v>37</v>
      </c>
      <c r="I234">
        <v>38</v>
      </c>
      <c r="J234">
        <v>0.52</v>
      </c>
      <c r="K234">
        <v>173</v>
      </c>
      <c r="L234">
        <v>76</v>
      </c>
      <c r="M234">
        <v>0</v>
      </c>
      <c r="N234">
        <v>1</v>
      </c>
      <c r="O234">
        <v>0</v>
      </c>
      <c r="P234">
        <v>1</v>
      </c>
      <c r="Q234">
        <v>1</v>
      </c>
      <c r="R234">
        <v>0</v>
      </c>
    </row>
    <row r="235" spans="1:18" ht="15.5" x14ac:dyDescent="0.35">
      <c r="A235" s="9">
        <v>647</v>
      </c>
      <c r="B235" s="6">
        <v>2023329570</v>
      </c>
      <c r="C235">
        <v>0</v>
      </c>
      <c r="E235">
        <v>1000</v>
      </c>
      <c r="F235">
        <v>1</v>
      </c>
      <c r="G235">
        <v>1</v>
      </c>
      <c r="H235" t="s">
        <v>39</v>
      </c>
      <c r="I235">
        <v>85</v>
      </c>
      <c r="J235">
        <v>1.2</v>
      </c>
      <c r="K235">
        <v>162</v>
      </c>
      <c r="L235">
        <v>60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</row>
    <row r="236" spans="1:18" ht="15.5" x14ac:dyDescent="0.35">
      <c r="A236" s="9">
        <v>647</v>
      </c>
      <c r="B236" s="6">
        <v>2023329570</v>
      </c>
      <c r="C236">
        <v>12</v>
      </c>
      <c r="E236">
        <v>1000</v>
      </c>
      <c r="F236">
        <v>1</v>
      </c>
      <c r="G236">
        <v>1</v>
      </c>
      <c r="H236" t="s">
        <v>39</v>
      </c>
      <c r="I236">
        <v>86</v>
      </c>
      <c r="J236">
        <v>1.2</v>
      </c>
      <c r="K236">
        <v>162</v>
      </c>
      <c r="L236">
        <v>60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</row>
    <row r="237" spans="1:18" ht="15.5" x14ac:dyDescent="0.35">
      <c r="A237" s="9">
        <v>647</v>
      </c>
      <c r="B237" s="6">
        <v>2023329570</v>
      </c>
      <c r="C237">
        <v>24</v>
      </c>
      <c r="E237">
        <v>1000</v>
      </c>
      <c r="F237">
        <v>1</v>
      </c>
      <c r="G237">
        <v>1</v>
      </c>
      <c r="H237" t="s">
        <v>39</v>
      </c>
      <c r="I237">
        <v>87</v>
      </c>
      <c r="J237">
        <v>1.2</v>
      </c>
      <c r="K237">
        <v>162</v>
      </c>
      <c r="L237">
        <v>60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</row>
    <row r="238" spans="1:18" ht="15.5" x14ac:dyDescent="0.35">
      <c r="A238" s="9">
        <v>647</v>
      </c>
      <c r="B238" s="6">
        <v>2023329570</v>
      </c>
      <c r="C238">
        <v>30</v>
      </c>
      <c r="E238">
        <v>1000</v>
      </c>
      <c r="F238">
        <v>1</v>
      </c>
      <c r="G238">
        <v>1</v>
      </c>
      <c r="H238" t="s">
        <v>39</v>
      </c>
      <c r="I238">
        <v>88</v>
      </c>
      <c r="J238">
        <v>1.2</v>
      </c>
      <c r="K238">
        <v>162</v>
      </c>
      <c r="L238">
        <v>60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</row>
    <row r="239" spans="1:18" ht="15.5" x14ac:dyDescent="0.35">
      <c r="A239" s="9">
        <v>647</v>
      </c>
      <c r="B239" s="6">
        <v>2023329570</v>
      </c>
      <c r="C239">
        <v>36</v>
      </c>
      <c r="E239">
        <v>1000</v>
      </c>
      <c r="F239">
        <v>1</v>
      </c>
      <c r="G239">
        <v>1</v>
      </c>
      <c r="H239" t="s">
        <v>39</v>
      </c>
      <c r="I239">
        <v>89</v>
      </c>
      <c r="J239">
        <v>1.2</v>
      </c>
      <c r="K239">
        <v>162</v>
      </c>
      <c r="L239">
        <v>60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</row>
    <row r="240" spans="1:18" ht="15.5" x14ac:dyDescent="0.35">
      <c r="A240" s="9">
        <v>647</v>
      </c>
      <c r="B240" s="6">
        <v>2023329570</v>
      </c>
      <c r="C240">
        <v>42</v>
      </c>
      <c r="E240">
        <v>1000</v>
      </c>
      <c r="F240">
        <v>1</v>
      </c>
      <c r="G240">
        <v>1</v>
      </c>
      <c r="H240" t="s">
        <v>39</v>
      </c>
      <c r="I240">
        <v>90</v>
      </c>
      <c r="J240">
        <v>1.2</v>
      </c>
      <c r="K240">
        <v>162</v>
      </c>
      <c r="L240">
        <v>60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</row>
    <row r="241" spans="1:18" ht="15.5" x14ac:dyDescent="0.35">
      <c r="A241" s="9">
        <v>647</v>
      </c>
      <c r="B241" s="6">
        <v>2023329570</v>
      </c>
      <c r="C241">
        <v>47.5</v>
      </c>
      <c r="D241">
        <v>28</v>
      </c>
      <c r="G241">
        <v>0</v>
      </c>
      <c r="H241" t="s">
        <v>39</v>
      </c>
      <c r="I241">
        <v>91</v>
      </c>
      <c r="J241">
        <v>1.2</v>
      </c>
      <c r="K241">
        <v>162</v>
      </c>
      <c r="L241">
        <v>60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</row>
    <row r="242" spans="1:18" ht="15.5" x14ac:dyDescent="0.35">
      <c r="A242" s="9">
        <v>647</v>
      </c>
      <c r="B242" s="6">
        <v>2023329570</v>
      </c>
      <c r="C242">
        <v>48</v>
      </c>
      <c r="E242">
        <v>1000</v>
      </c>
      <c r="F242">
        <v>1</v>
      </c>
      <c r="G242">
        <v>1</v>
      </c>
      <c r="H242" t="s">
        <v>39</v>
      </c>
      <c r="I242">
        <v>92</v>
      </c>
      <c r="J242">
        <v>1.2</v>
      </c>
      <c r="K242">
        <v>162</v>
      </c>
      <c r="L242">
        <v>60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</row>
    <row r="243" spans="1:18" ht="15.5" x14ac:dyDescent="0.35">
      <c r="A243" s="9">
        <v>648</v>
      </c>
      <c r="B243" s="6">
        <v>23123510</v>
      </c>
      <c r="C243">
        <v>0</v>
      </c>
      <c r="E243">
        <v>2000</v>
      </c>
      <c r="F243">
        <v>24</v>
      </c>
      <c r="G243">
        <v>1</v>
      </c>
      <c r="H243" t="s">
        <v>37</v>
      </c>
      <c r="I243">
        <v>39</v>
      </c>
      <c r="J243">
        <v>0.72</v>
      </c>
      <c r="K243">
        <v>178</v>
      </c>
      <c r="L243">
        <v>74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</row>
    <row r="244" spans="1:18" ht="15.5" x14ac:dyDescent="0.35">
      <c r="A244" s="9">
        <v>648</v>
      </c>
      <c r="B244" s="6">
        <v>23123510</v>
      </c>
      <c r="C244">
        <v>23.5</v>
      </c>
      <c r="D244">
        <v>7</v>
      </c>
      <c r="G244">
        <v>0</v>
      </c>
      <c r="H244" t="s">
        <v>37</v>
      </c>
      <c r="I244">
        <v>39</v>
      </c>
      <c r="J244">
        <v>0.72</v>
      </c>
      <c r="K244">
        <v>178</v>
      </c>
      <c r="L244">
        <v>74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</row>
    <row r="245" spans="1:18" ht="15.5" x14ac:dyDescent="0.35">
      <c r="A245" s="9">
        <v>648</v>
      </c>
      <c r="B245" s="6">
        <v>23123510</v>
      </c>
      <c r="C245">
        <v>24</v>
      </c>
      <c r="E245">
        <v>2000</v>
      </c>
      <c r="F245">
        <v>24</v>
      </c>
      <c r="G245">
        <v>1</v>
      </c>
      <c r="H245" t="s">
        <v>37</v>
      </c>
      <c r="I245">
        <v>39</v>
      </c>
      <c r="J245">
        <v>0.72</v>
      </c>
      <c r="K245">
        <v>178</v>
      </c>
      <c r="L245">
        <v>74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</row>
    <row r="246" spans="1:18" ht="15.5" x14ac:dyDescent="0.35">
      <c r="A246" s="9">
        <v>648</v>
      </c>
      <c r="B246" s="6">
        <v>23123510</v>
      </c>
      <c r="C246">
        <v>47.5</v>
      </c>
      <c r="D246">
        <v>8</v>
      </c>
      <c r="G246">
        <v>0</v>
      </c>
      <c r="H246" t="s">
        <v>37</v>
      </c>
      <c r="I246">
        <v>39</v>
      </c>
      <c r="J246">
        <v>0.72</v>
      </c>
      <c r="K246">
        <v>178</v>
      </c>
      <c r="L246">
        <v>74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</row>
    <row r="247" spans="1:18" ht="15.5" x14ac:dyDescent="0.35">
      <c r="A247" s="9">
        <v>648</v>
      </c>
      <c r="B247" s="6">
        <v>23123510</v>
      </c>
      <c r="C247">
        <v>48</v>
      </c>
      <c r="E247">
        <v>3000</v>
      </c>
      <c r="F247">
        <v>24</v>
      </c>
      <c r="G247">
        <v>1</v>
      </c>
      <c r="H247" t="s">
        <v>37</v>
      </c>
      <c r="I247">
        <v>39</v>
      </c>
      <c r="J247">
        <v>0.72</v>
      </c>
      <c r="K247">
        <v>178</v>
      </c>
      <c r="L247">
        <v>74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</row>
    <row r="248" spans="1:18" ht="15.5" x14ac:dyDescent="0.35">
      <c r="A248" s="9">
        <v>650</v>
      </c>
      <c r="B248" s="6">
        <v>23122224</v>
      </c>
      <c r="C248">
        <v>0</v>
      </c>
      <c r="E248">
        <v>2000</v>
      </c>
      <c r="F248">
        <v>2</v>
      </c>
      <c r="G248">
        <v>1</v>
      </c>
      <c r="H248" t="s">
        <v>39</v>
      </c>
      <c r="I248">
        <v>77</v>
      </c>
      <c r="J248">
        <v>1.0900000000000001</v>
      </c>
      <c r="K248">
        <v>165</v>
      </c>
      <c r="L248">
        <v>88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</row>
    <row r="249" spans="1:18" ht="15.5" x14ac:dyDescent="0.35">
      <c r="A249" s="9">
        <v>650</v>
      </c>
      <c r="B249" s="6">
        <v>23122224</v>
      </c>
      <c r="C249">
        <v>6</v>
      </c>
      <c r="E249">
        <v>750</v>
      </c>
      <c r="F249">
        <v>1</v>
      </c>
      <c r="G249">
        <v>1</v>
      </c>
      <c r="H249" t="s">
        <v>39</v>
      </c>
      <c r="I249">
        <v>77</v>
      </c>
      <c r="J249">
        <v>1.0900000000000001</v>
      </c>
      <c r="K249">
        <v>165</v>
      </c>
      <c r="L249">
        <v>88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ht="15.5" x14ac:dyDescent="0.35">
      <c r="A250" s="9">
        <v>650</v>
      </c>
      <c r="B250" s="6">
        <v>23122224</v>
      </c>
      <c r="C250">
        <v>12</v>
      </c>
      <c r="E250">
        <v>750</v>
      </c>
      <c r="F250">
        <v>1</v>
      </c>
      <c r="G250">
        <v>1</v>
      </c>
      <c r="H250" t="s">
        <v>39</v>
      </c>
      <c r="I250">
        <v>77</v>
      </c>
      <c r="J250">
        <v>1.0900000000000001</v>
      </c>
      <c r="K250">
        <v>165</v>
      </c>
      <c r="L250">
        <v>88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ht="15.5" x14ac:dyDescent="0.35">
      <c r="A251" s="9">
        <v>650</v>
      </c>
      <c r="B251" s="6">
        <v>23122224</v>
      </c>
      <c r="C251">
        <v>18</v>
      </c>
      <c r="E251">
        <v>750</v>
      </c>
      <c r="F251">
        <v>1</v>
      </c>
      <c r="G251">
        <v>1</v>
      </c>
      <c r="H251" t="s">
        <v>39</v>
      </c>
      <c r="I251">
        <v>77</v>
      </c>
      <c r="J251">
        <v>1.0900000000000001</v>
      </c>
      <c r="K251">
        <v>165</v>
      </c>
      <c r="L251">
        <v>88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ht="15.5" x14ac:dyDescent="0.35">
      <c r="A252" s="9">
        <v>650</v>
      </c>
      <c r="B252" s="6">
        <v>23122224</v>
      </c>
      <c r="C252">
        <v>24</v>
      </c>
      <c r="E252">
        <v>750</v>
      </c>
      <c r="F252">
        <v>1</v>
      </c>
      <c r="G252">
        <v>1</v>
      </c>
      <c r="H252" t="s">
        <v>39</v>
      </c>
      <c r="I252">
        <v>77</v>
      </c>
      <c r="J252">
        <v>1.0900000000000001</v>
      </c>
      <c r="K252">
        <v>165</v>
      </c>
      <c r="L252">
        <v>88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ht="15.5" x14ac:dyDescent="0.35">
      <c r="A253" s="9">
        <v>650</v>
      </c>
      <c r="B253" s="6">
        <v>23122224</v>
      </c>
      <c r="C253">
        <v>30</v>
      </c>
      <c r="E253">
        <v>750</v>
      </c>
      <c r="F253">
        <v>1</v>
      </c>
      <c r="G253">
        <v>1</v>
      </c>
      <c r="H253" t="s">
        <v>39</v>
      </c>
      <c r="I253">
        <v>77</v>
      </c>
      <c r="J253">
        <v>1.0900000000000001</v>
      </c>
      <c r="K253">
        <v>165</v>
      </c>
      <c r="L253">
        <v>88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ht="15.5" x14ac:dyDescent="0.35">
      <c r="A254" s="9">
        <v>650</v>
      </c>
      <c r="B254" s="6">
        <v>23122224</v>
      </c>
      <c r="C254">
        <v>36</v>
      </c>
      <c r="E254">
        <v>750</v>
      </c>
      <c r="F254">
        <v>1</v>
      </c>
      <c r="G254">
        <v>1</v>
      </c>
      <c r="H254" t="s">
        <v>39</v>
      </c>
      <c r="I254">
        <v>77</v>
      </c>
      <c r="J254">
        <v>1.0900000000000001</v>
      </c>
      <c r="K254">
        <v>165</v>
      </c>
      <c r="L254">
        <v>88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ht="15.5" x14ac:dyDescent="0.35">
      <c r="A255" s="9">
        <v>650</v>
      </c>
      <c r="B255" s="6">
        <v>23122224</v>
      </c>
      <c r="C255">
        <v>42</v>
      </c>
      <c r="E255">
        <v>750</v>
      </c>
      <c r="F255">
        <v>1</v>
      </c>
      <c r="G255">
        <v>1</v>
      </c>
      <c r="H255" t="s">
        <v>39</v>
      </c>
      <c r="I255">
        <v>77</v>
      </c>
      <c r="J255">
        <v>1.0900000000000001</v>
      </c>
      <c r="K255">
        <v>165</v>
      </c>
      <c r="L255">
        <v>88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ht="15.5" x14ac:dyDescent="0.35">
      <c r="A256" s="9">
        <v>650</v>
      </c>
      <c r="B256" s="6">
        <v>23122224</v>
      </c>
      <c r="C256">
        <v>47.5</v>
      </c>
      <c r="G256">
        <v>0</v>
      </c>
      <c r="H256" t="s">
        <v>39</v>
      </c>
      <c r="I256">
        <v>77</v>
      </c>
      <c r="J256">
        <v>1.0900000000000001</v>
      </c>
      <c r="K256">
        <v>165</v>
      </c>
      <c r="L256">
        <v>88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20" ht="15.5" x14ac:dyDescent="0.35">
      <c r="A257" s="9">
        <v>650</v>
      </c>
      <c r="B257" s="6">
        <v>23122224</v>
      </c>
      <c r="C257">
        <v>48</v>
      </c>
      <c r="E257">
        <v>750</v>
      </c>
      <c r="F257">
        <v>1</v>
      </c>
      <c r="G257">
        <v>1</v>
      </c>
      <c r="H257" t="s">
        <v>39</v>
      </c>
      <c r="I257">
        <v>77</v>
      </c>
      <c r="J257">
        <v>1.0900000000000001</v>
      </c>
      <c r="K257">
        <v>165</v>
      </c>
      <c r="L257">
        <v>88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20" ht="15.5" x14ac:dyDescent="0.35">
      <c r="A258" s="9">
        <v>656</v>
      </c>
      <c r="B258" s="6">
        <v>23123569</v>
      </c>
      <c r="C258">
        <v>0</v>
      </c>
      <c r="E258">
        <v>1500</v>
      </c>
      <c r="F258">
        <v>3</v>
      </c>
      <c r="G258">
        <v>1</v>
      </c>
      <c r="H258" t="s">
        <v>39</v>
      </c>
      <c r="I258">
        <v>74</v>
      </c>
      <c r="J258">
        <v>0.85</v>
      </c>
      <c r="K258">
        <v>165</v>
      </c>
      <c r="L258">
        <v>63</v>
      </c>
      <c r="M258">
        <v>0</v>
      </c>
      <c r="N258">
        <v>1</v>
      </c>
      <c r="O258">
        <v>0</v>
      </c>
      <c r="P258">
        <v>1</v>
      </c>
      <c r="Q258">
        <v>1</v>
      </c>
      <c r="R258">
        <v>1</v>
      </c>
    </row>
    <row r="259" spans="1:20" ht="15.5" x14ac:dyDescent="0.35">
      <c r="A259" s="9">
        <v>656</v>
      </c>
      <c r="B259" s="6">
        <v>23123569</v>
      </c>
      <c r="C259">
        <v>3</v>
      </c>
      <c r="E259">
        <v>2000</v>
      </c>
      <c r="F259">
        <v>24</v>
      </c>
      <c r="G259">
        <v>1</v>
      </c>
      <c r="H259" t="s">
        <v>39</v>
      </c>
      <c r="I259">
        <v>74</v>
      </c>
      <c r="J259">
        <v>0.85</v>
      </c>
      <c r="K259">
        <v>165</v>
      </c>
      <c r="L259">
        <v>63</v>
      </c>
      <c r="M259">
        <v>0</v>
      </c>
      <c r="N259">
        <v>1</v>
      </c>
      <c r="O259">
        <v>0</v>
      </c>
      <c r="P259">
        <v>1</v>
      </c>
      <c r="Q259">
        <v>1</v>
      </c>
      <c r="R259">
        <v>0</v>
      </c>
      <c r="T259" s="14"/>
    </row>
    <row r="260" spans="1:20" ht="15.5" x14ac:dyDescent="0.35">
      <c r="A260" s="9">
        <v>656</v>
      </c>
      <c r="B260" s="6">
        <v>23123569</v>
      </c>
      <c r="C260">
        <v>27</v>
      </c>
      <c r="E260">
        <v>2000</v>
      </c>
      <c r="F260">
        <v>24</v>
      </c>
      <c r="G260">
        <v>1</v>
      </c>
      <c r="H260" t="s">
        <v>39</v>
      </c>
      <c r="I260">
        <v>74</v>
      </c>
      <c r="J260">
        <v>0.85</v>
      </c>
      <c r="K260">
        <v>165</v>
      </c>
      <c r="L260">
        <v>63</v>
      </c>
      <c r="M260">
        <v>0</v>
      </c>
      <c r="N260">
        <v>1</v>
      </c>
      <c r="O260">
        <v>0</v>
      </c>
      <c r="P260">
        <v>1</v>
      </c>
      <c r="Q260">
        <v>1</v>
      </c>
      <c r="R260">
        <v>0</v>
      </c>
    </row>
    <row r="261" spans="1:20" ht="15.5" x14ac:dyDescent="0.35">
      <c r="A261" s="9">
        <v>656</v>
      </c>
      <c r="B261" s="6">
        <v>23123569</v>
      </c>
      <c r="C261">
        <v>50.5</v>
      </c>
      <c r="D261">
        <v>32</v>
      </c>
      <c r="G261">
        <v>0</v>
      </c>
      <c r="H261" t="s">
        <v>39</v>
      </c>
      <c r="I261">
        <v>74</v>
      </c>
      <c r="J261">
        <v>0.85</v>
      </c>
      <c r="K261">
        <v>165</v>
      </c>
      <c r="L261">
        <v>63</v>
      </c>
      <c r="M261">
        <v>0</v>
      </c>
      <c r="N261">
        <v>1</v>
      </c>
      <c r="O261">
        <v>0</v>
      </c>
      <c r="P261">
        <v>1</v>
      </c>
      <c r="Q261">
        <v>1</v>
      </c>
      <c r="R261">
        <v>0</v>
      </c>
    </row>
    <row r="262" spans="1:20" ht="15.5" x14ac:dyDescent="0.35">
      <c r="A262" s="9">
        <v>656</v>
      </c>
      <c r="B262" s="6">
        <v>23123569</v>
      </c>
      <c r="C262">
        <v>51</v>
      </c>
      <c r="E262">
        <v>2000</v>
      </c>
      <c r="F262">
        <v>24</v>
      </c>
      <c r="G262">
        <v>1</v>
      </c>
      <c r="H262" t="s">
        <v>39</v>
      </c>
      <c r="I262">
        <v>74</v>
      </c>
      <c r="J262">
        <v>0.85</v>
      </c>
      <c r="K262">
        <v>165</v>
      </c>
      <c r="L262">
        <v>63</v>
      </c>
      <c r="M262">
        <v>0</v>
      </c>
      <c r="N262">
        <v>1</v>
      </c>
      <c r="O262">
        <v>0</v>
      </c>
      <c r="P262">
        <v>1</v>
      </c>
      <c r="Q262">
        <v>1</v>
      </c>
      <c r="R262">
        <v>0</v>
      </c>
    </row>
    <row r="263" spans="1:20" ht="15.5" x14ac:dyDescent="0.35">
      <c r="A263" s="9">
        <v>657</v>
      </c>
      <c r="B263" s="6">
        <v>23132456</v>
      </c>
      <c r="C263">
        <v>0</v>
      </c>
      <c r="E263">
        <v>1500</v>
      </c>
      <c r="F263">
        <v>3</v>
      </c>
      <c r="G263">
        <v>1</v>
      </c>
      <c r="H263" t="s">
        <v>37</v>
      </c>
      <c r="I263">
        <v>72</v>
      </c>
      <c r="J263">
        <v>1.25</v>
      </c>
      <c r="K263">
        <v>180</v>
      </c>
      <c r="L263">
        <v>139</v>
      </c>
      <c r="M263">
        <v>0</v>
      </c>
      <c r="N263">
        <v>1</v>
      </c>
      <c r="O263">
        <v>0</v>
      </c>
      <c r="P263">
        <v>0</v>
      </c>
      <c r="Q263">
        <v>1</v>
      </c>
      <c r="R263">
        <v>1</v>
      </c>
    </row>
    <row r="264" spans="1:20" ht="15.5" x14ac:dyDescent="0.35">
      <c r="A264" s="9">
        <v>657</v>
      </c>
      <c r="B264" s="6">
        <v>23132456</v>
      </c>
      <c r="C264">
        <v>3</v>
      </c>
      <c r="E264">
        <v>2000</v>
      </c>
      <c r="F264">
        <v>24</v>
      </c>
      <c r="G264">
        <v>1</v>
      </c>
      <c r="H264" t="s">
        <v>37</v>
      </c>
      <c r="I264">
        <v>72</v>
      </c>
      <c r="J264">
        <v>1.25</v>
      </c>
      <c r="K264">
        <v>180</v>
      </c>
      <c r="L264">
        <v>139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0</v>
      </c>
    </row>
    <row r="265" spans="1:20" ht="15.5" x14ac:dyDescent="0.35">
      <c r="A265" s="9">
        <v>657</v>
      </c>
      <c r="B265" s="6">
        <v>23132456</v>
      </c>
      <c r="C265">
        <v>27</v>
      </c>
      <c r="E265">
        <v>2000</v>
      </c>
      <c r="F265">
        <v>24</v>
      </c>
      <c r="G265">
        <v>1</v>
      </c>
      <c r="H265" t="s">
        <v>37</v>
      </c>
      <c r="I265">
        <v>72</v>
      </c>
      <c r="J265">
        <v>1.25</v>
      </c>
      <c r="K265">
        <v>180</v>
      </c>
      <c r="L265">
        <v>139</v>
      </c>
      <c r="M265">
        <v>0</v>
      </c>
      <c r="N265">
        <v>1</v>
      </c>
      <c r="O265">
        <v>0</v>
      </c>
      <c r="P265">
        <v>0</v>
      </c>
      <c r="Q265">
        <v>1</v>
      </c>
      <c r="R265">
        <v>0</v>
      </c>
    </row>
    <row r="266" spans="1:20" ht="15.5" x14ac:dyDescent="0.35">
      <c r="A266" s="9">
        <v>657</v>
      </c>
      <c r="B266" s="6">
        <v>23132456</v>
      </c>
      <c r="C266">
        <v>50.5</v>
      </c>
      <c r="D266">
        <v>24</v>
      </c>
      <c r="G266">
        <v>0</v>
      </c>
      <c r="H266" t="s">
        <v>37</v>
      </c>
      <c r="I266">
        <v>72</v>
      </c>
      <c r="J266">
        <v>1.25</v>
      </c>
      <c r="K266">
        <v>180</v>
      </c>
      <c r="L266">
        <v>139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0</v>
      </c>
    </row>
    <row r="267" spans="1:20" ht="15.5" x14ac:dyDescent="0.35">
      <c r="A267" s="9">
        <v>657</v>
      </c>
      <c r="B267" s="6">
        <v>23132456</v>
      </c>
      <c r="C267">
        <v>51</v>
      </c>
      <c r="E267">
        <v>2000</v>
      </c>
      <c r="F267">
        <v>24</v>
      </c>
      <c r="G267">
        <v>1</v>
      </c>
      <c r="H267" t="s">
        <v>37</v>
      </c>
      <c r="I267">
        <v>72</v>
      </c>
      <c r="J267">
        <v>1.25</v>
      </c>
      <c r="K267">
        <v>180</v>
      </c>
      <c r="L267">
        <v>139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0</v>
      </c>
    </row>
    <row r="268" spans="1:20" ht="15.5" x14ac:dyDescent="0.35">
      <c r="A268" s="9">
        <v>661</v>
      </c>
      <c r="B268" s="6">
        <v>24101141</v>
      </c>
      <c r="C268">
        <v>0</v>
      </c>
      <c r="E268">
        <v>1750</v>
      </c>
      <c r="F268">
        <v>3</v>
      </c>
      <c r="G268">
        <v>1</v>
      </c>
      <c r="H268" t="s">
        <v>37</v>
      </c>
      <c r="I268">
        <v>54</v>
      </c>
      <c r="J268">
        <v>1.05</v>
      </c>
      <c r="K268">
        <v>175</v>
      </c>
      <c r="L268">
        <v>96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</row>
    <row r="269" spans="1:20" ht="15.5" x14ac:dyDescent="0.35">
      <c r="A269" s="9">
        <v>661</v>
      </c>
      <c r="B269" s="6">
        <v>24101141</v>
      </c>
      <c r="C269">
        <v>3</v>
      </c>
      <c r="E269">
        <v>2500</v>
      </c>
      <c r="F269">
        <v>24</v>
      </c>
      <c r="G269">
        <v>1</v>
      </c>
      <c r="H269" t="s">
        <v>37</v>
      </c>
      <c r="I269">
        <v>54</v>
      </c>
      <c r="J269">
        <v>1.05</v>
      </c>
      <c r="K269">
        <v>175</v>
      </c>
      <c r="L269">
        <v>96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20" ht="15.5" x14ac:dyDescent="0.35">
      <c r="A270" s="9">
        <v>661</v>
      </c>
      <c r="B270" s="6">
        <v>24101141</v>
      </c>
      <c r="C270">
        <v>27</v>
      </c>
      <c r="E270">
        <v>2500</v>
      </c>
      <c r="F270">
        <v>24</v>
      </c>
      <c r="G270">
        <v>1</v>
      </c>
      <c r="H270" t="s">
        <v>37</v>
      </c>
      <c r="I270">
        <v>54</v>
      </c>
      <c r="J270">
        <v>1.05</v>
      </c>
      <c r="K270">
        <v>175</v>
      </c>
      <c r="L270">
        <v>96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20" ht="15.5" x14ac:dyDescent="0.35">
      <c r="A271" s="9">
        <v>661</v>
      </c>
      <c r="B271" s="6">
        <v>24101141</v>
      </c>
      <c r="C271">
        <v>50.5</v>
      </c>
      <c r="D271">
        <v>15</v>
      </c>
      <c r="G271">
        <v>0</v>
      </c>
      <c r="H271" t="s">
        <v>37</v>
      </c>
      <c r="I271">
        <v>54</v>
      </c>
      <c r="J271">
        <v>1.05</v>
      </c>
      <c r="K271">
        <v>175</v>
      </c>
      <c r="L271">
        <v>96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20" ht="15.5" x14ac:dyDescent="0.35">
      <c r="A272" s="9">
        <v>661</v>
      </c>
      <c r="B272" s="6">
        <v>24101141</v>
      </c>
      <c r="C272">
        <v>51</v>
      </c>
      <c r="E272">
        <v>3000</v>
      </c>
      <c r="F272">
        <v>24</v>
      </c>
      <c r="G272">
        <v>1</v>
      </c>
      <c r="H272" t="s">
        <v>37</v>
      </c>
      <c r="I272">
        <v>54</v>
      </c>
      <c r="J272">
        <v>1.05</v>
      </c>
      <c r="K272">
        <v>175</v>
      </c>
      <c r="L272">
        <v>96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ht="15.5" x14ac:dyDescent="0.35">
      <c r="A273" s="9">
        <v>661</v>
      </c>
      <c r="B273" s="6">
        <v>24101141</v>
      </c>
      <c r="C273">
        <v>75</v>
      </c>
      <c r="E273">
        <v>3000</v>
      </c>
      <c r="F273">
        <v>24</v>
      </c>
      <c r="G273">
        <v>1</v>
      </c>
      <c r="H273" t="s">
        <v>37</v>
      </c>
      <c r="I273">
        <v>54</v>
      </c>
      <c r="J273">
        <v>1.05</v>
      </c>
      <c r="K273">
        <v>175</v>
      </c>
      <c r="L273">
        <v>96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ht="15.5" x14ac:dyDescent="0.35">
      <c r="A274" s="9">
        <v>661</v>
      </c>
      <c r="B274" s="6">
        <v>24101141</v>
      </c>
      <c r="C274">
        <v>98.5</v>
      </c>
      <c r="D274">
        <v>21</v>
      </c>
      <c r="G274">
        <v>0</v>
      </c>
      <c r="H274" t="s">
        <v>37</v>
      </c>
      <c r="I274">
        <v>54</v>
      </c>
      <c r="J274">
        <v>1.05</v>
      </c>
      <c r="K274">
        <v>175</v>
      </c>
      <c r="L274">
        <v>96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0DB6-19D9-489B-907D-E55AF9D05F6B}">
  <dimension ref="A1:R13"/>
  <sheetViews>
    <sheetView workbookViewId="0">
      <selection activeCell="A14" sqref="A14"/>
    </sheetView>
  </sheetViews>
  <sheetFormatPr defaultRowHeight="14.5" x14ac:dyDescent="0.35"/>
  <cols>
    <col min="1" max="1" width="10.7265625" bestFit="1" customWidth="1"/>
    <col min="2" max="2" width="46.08984375" bestFit="1" customWidth="1"/>
    <col min="3" max="3" width="35.54296875" customWidth="1"/>
    <col min="10" max="10" width="10.90625" customWidth="1"/>
    <col min="16" max="16" width="11.453125" customWidth="1"/>
  </cols>
  <sheetData>
    <row r="1" spans="1:18" ht="23.5" x14ac:dyDescent="0.55000000000000004">
      <c r="A1" t="s">
        <v>9</v>
      </c>
      <c r="B1" t="s">
        <v>10</v>
      </c>
      <c r="C1" t="s">
        <v>11</v>
      </c>
      <c r="J1" s="4" t="s">
        <v>14</v>
      </c>
    </row>
    <row r="2" spans="1:18" ht="66.5" customHeight="1" x14ac:dyDescent="0.35">
      <c r="A2" s="5" t="s">
        <v>1</v>
      </c>
      <c r="B2" s="5" t="s">
        <v>16</v>
      </c>
      <c r="C2" s="5" t="s">
        <v>17</v>
      </c>
      <c r="J2" s="1" t="s">
        <v>0</v>
      </c>
      <c r="K2" s="2" t="s">
        <v>1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7</v>
      </c>
      <c r="R2" s="3" t="s">
        <v>8</v>
      </c>
    </row>
    <row r="3" spans="1:18" x14ac:dyDescent="0.35">
      <c r="A3" s="5" t="s">
        <v>2</v>
      </c>
      <c r="B3" s="5" t="s">
        <v>18</v>
      </c>
      <c r="C3" s="5" t="s">
        <v>19</v>
      </c>
      <c r="J3" t="s">
        <v>15</v>
      </c>
      <c r="K3">
        <v>0</v>
      </c>
      <c r="M3">
        <v>2500</v>
      </c>
      <c r="N3">
        <v>3</v>
      </c>
      <c r="O3">
        <v>1</v>
      </c>
      <c r="P3">
        <v>2</v>
      </c>
      <c r="Q3">
        <v>80</v>
      </c>
      <c r="R3">
        <v>0</v>
      </c>
    </row>
    <row r="4" spans="1:18" x14ac:dyDescent="0.35">
      <c r="A4" s="5" t="s">
        <v>3</v>
      </c>
      <c r="B4" s="5" t="s">
        <v>18</v>
      </c>
      <c r="C4" s="5" t="s">
        <v>20</v>
      </c>
      <c r="J4" t="s">
        <v>15</v>
      </c>
      <c r="K4">
        <v>12</v>
      </c>
      <c r="M4">
        <v>1000</v>
      </c>
      <c r="N4">
        <v>2</v>
      </c>
      <c r="O4">
        <v>1</v>
      </c>
      <c r="P4">
        <v>2</v>
      </c>
      <c r="Q4">
        <v>80</v>
      </c>
      <c r="R4">
        <v>0</v>
      </c>
    </row>
    <row r="5" spans="1:18" x14ac:dyDescent="0.35">
      <c r="A5" s="5" t="s">
        <v>4</v>
      </c>
      <c r="B5" s="5" t="s">
        <v>18</v>
      </c>
      <c r="C5" s="5" t="s">
        <v>21</v>
      </c>
      <c r="J5" t="s">
        <v>15</v>
      </c>
      <c r="K5">
        <v>24</v>
      </c>
      <c r="M5">
        <v>1000</v>
      </c>
      <c r="N5">
        <v>2</v>
      </c>
      <c r="O5">
        <v>1</v>
      </c>
      <c r="P5">
        <v>2</v>
      </c>
      <c r="Q5">
        <v>80</v>
      </c>
      <c r="R5">
        <v>0</v>
      </c>
    </row>
    <row r="6" spans="1:18" ht="29" x14ac:dyDescent="0.35">
      <c r="A6" s="5" t="s">
        <v>5</v>
      </c>
      <c r="B6" s="5" t="s">
        <v>23</v>
      </c>
      <c r="C6" s="5" t="s">
        <v>22</v>
      </c>
      <c r="J6" t="s">
        <v>15</v>
      </c>
      <c r="K6">
        <v>36</v>
      </c>
      <c r="M6">
        <v>1000</v>
      </c>
      <c r="N6">
        <v>2</v>
      </c>
      <c r="O6">
        <v>1</v>
      </c>
      <c r="P6">
        <v>2</v>
      </c>
      <c r="Q6">
        <v>80</v>
      </c>
      <c r="R6">
        <v>0</v>
      </c>
    </row>
    <row r="7" spans="1:18" x14ac:dyDescent="0.35">
      <c r="A7" s="5" t="s">
        <v>6</v>
      </c>
      <c r="B7" s="5" t="s">
        <v>18</v>
      </c>
      <c r="C7" s="5" t="s">
        <v>24</v>
      </c>
      <c r="J7" t="s">
        <v>15</v>
      </c>
      <c r="K7">
        <v>47.5</v>
      </c>
      <c r="L7">
        <v>15</v>
      </c>
      <c r="M7">
        <v>0</v>
      </c>
      <c r="O7">
        <v>0</v>
      </c>
    </row>
    <row r="8" spans="1:18" x14ac:dyDescent="0.35">
      <c r="A8" s="5" t="s">
        <v>7</v>
      </c>
      <c r="B8" s="5" t="s">
        <v>12</v>
      </c>
      <c r="C8" s="5" t="s">
        <v>13</v>
      </c>
    </row>
    <row r="9" spans="1:18" ht="57.5" customHeight="1" x14ac:dyDescent="0.35">
      <c r="A9" s="5" t="s">
        <v>8</v>
      </c>
      <c r="B9" s="5" t="s">
        <v>23</v>
      </c>
      <c r="C9" s="5" t="s">
        <v>25</v>
      </c>
    </row>
    <row r="10" spans="1:18" x14ac:dyDescent="0.35">
      <c r="A10" s="5" t="s">
        <v>26</v>
      </c>
      <c r="B10" s="5" t="s">
        <v>23</v>
      </c>
      <c r="C10" s="5" t="s">
        <v>27</v>
      </c>
    </row>
    <row r="11" spans="1:18" x14ac:dyDescent="0.35">
      <c r="A11" s="5" t="s">
        <v>28</v>
      </c>
      <c r="B11" s="5" t="s">
        <v>23</v>
      </c>
      <c r="C11" s="5" t="s">
        <v>31</v>
      </c>
    </row>
    <row r="12" spans="1:18" ht="43.5" x14ac:dyDescent="0.35">
      <c r="A12" s="5" t="s">
        <v>29</v>
      </c>
      <c r="B12" s="5" t="s">
        <v>23</v>
      </c>
      <c r="C12" s="5" t="s">
        <v>32</v>
      </c>
    </row>
    <row r="13" spans="1:18" ht="43.5" x14ac:dyDescent="0.35">
      <c r="A13" s="5" t="s">
        <v>30</v>
      </c>
      <c r="B13" s="5" t="s">
        <v>23</v>
      </c>
      <c r="C13" s="5" t="s">
        <v>33</v>
      </c>
    </row>
  </sheetData>
  <dataConsolidate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</dc:creator>
  <cp:lastModifiedBy>MATTEO MORRA</cp:lastModifiedBy>
  <dcterms:created xsi:type="dcterms:W3CDTF">2024-10-03T07:38:48Z</dcterms:created>
  <dcterms:modified xsi:type="dcterms:W3CDTF">2024-11-22T14:17:20Z</dcterms:modified>
</cp:coreProperties>
</file>